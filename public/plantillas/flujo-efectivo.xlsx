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A\Desktop\Proyecto archivos\"/>
    </mc:Choice>
  </mc:AlternateContent>
  <xr:revisionPtr revIDLastSave="0" documentId="8_{441C59F5-BE99-41C5-940E-1E5C7C6C4309}" xr6:coauthVersionLast="47" xr6:coauthVersionMax="47" xr10:uidLastSave="{00000000-0000-0000-0000-000000000000}"/>
  <bookViews>
    <workbookView xWindow="-28800" yWindow="-4170" windowWidth="14400" windowHeight="15600" firstSheet="2" activeTab="2" xr2:uid="{483AF755-3DD9-454C-9FF6-B1390812F35F}"/>
  </bookViews>
  <sheets>
    <sheet name="Flujo de Efectivo JUNIO 2026" sheetId="14" r:id="rId1"/>
    <sheet name="Flujo Efectivo 2do_Trim_2026" sheetId="15" r:id="rId2"/>
    <sheet name="Flujo Efectivo1er.semestre_2026" sheetId="16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6" l="1"/>
  <c r="D40" i="16" s="1"/>
  <c r="D36" i="16"/>
  <c r="D37" i="15"/>
  <c r="D37" i="14"/>
  <c r="D27" i="16" l="1"/>
  <c r="D26" i="14"/>
  <c r="D35" i="15" l="1"/>
  <c r="D26" i="15"/>
  <c r="D39" i="15" l="1"/>
  <c r="D35" i="14"/>
  <c r="D39" i="14" s="1"/>
</calcChain>
</file>

<file path=xl/sharedStrings.xml><?xml version="1.0" encoding="utf-8"?>
<sst xmlns="http://schemas.openxmlformats.org/spreadsheetml/2006/main" count="133" uniqueCount="52">
  <si>
    <t>IGLESIA UNIVERSAL DEL REINO DE DIOS</t>
  </si>
  <si>
    <t>ESTADO FLUJO DE EFECTIVO</t>
  </si>
  <si>
    <t>(Expresado en Córdobas)</t>
  </si>
  <si>
    <t>Actividades de operación</t>
  </si>
  <si>
    <t>Flujo de efectivo de las actividades de operación</t>
  </si>
  <si>
    <t>Depreciación</t>
  </si>
  <si>
    <t>Cuentas por cobrar a empleados</t>
  </si>
  <si>
    <t>Anticipos a justificar</t>
  </si>
  <si>
    <t>Cuentas por cobrar por servicios</t>
  </si>
  <si>
    <t>Deudores comerciales y otras cuentas por Cobrar</t>
  </si>
  <si>
    <t>Impuestos pagados por adelantado</t>
  </si>
  <si>
    <t>Pagos anticipados</t>
  </si>
  <si>
    <t>Depósito en garantía</t>
  </si>
  <si>
    <t>Póliza de seguros</t>
  </si>
  <si>
    <t>Acreedores Comerciales</t>
  </si>
  <si>
    <t>Certificados a plazo fijo (fondos restringidos)</t>
  </si>
  <si>
    <t>Impuestos por pagar</t>
  </si>
  <si>
    <t>Retenciones por pagar</t>
  </si>
  <si>
    <t>Gastos acumulados por pagar</t>
  </si>
  <si>
    <t>Cuentas transitorias</t>
  </si>
  <si>
    <t>Depósito sin identificar</t>
  </si>
  <si>
    <t>Efectivo neto utilizado en las actividades de operación</t>
  </si>
  <si>
    <t>Flujo de efectivo de las actividades de inversión</t>
  </si>
  <si>
    <t>Mobilidario y Equipo de Oficina</t>
  </si>
  <si>
    <t>Vehículos</t>
  </si>
  <si>
    <t>Patrimonio</t>
  </si>
  <si>
    <t>Efectivo neto utilizado en las actividades de inversión</t>
  </si>
  <si>
    <t>Efectivo neto utilizado en las actividades de financiamiento</t>
  </si>
  <si>
    <t>Elaborado                                                           Revisado</t>
  </si>
  <si>
    <t xml:space="preserve">Autorizado </t>
  </si>
  <si>
    <t>Lic. Edelma Detrinidad Barberena                   Lic Danilo Aguirre Centeno</t>
  </si>
  <si>
    <t>Contador                                                            Contador General</t>
  </si>
  <si>
    <t>Representante Legal</t>
  </si>
  <si>
    <t>Edificios</t>
  </si>
  <si>
    <t>Terrenos</t>
  </si>
  <si>
    <t xml:space="preserve">Incremento o Decremento </t>
  </si>
  <si>
    <t>Excedente Ingresos/Egresos Acumulados</t>
  </si>
  <si>
    <t>Reynaldo Antonio Villanueva</t>
  </si>
  <si>
    <t xml:space="preserve">Utilidades acumuladas </t>
  </si>
  <si>
    <t xml:space="preserve">Efectivo al 31 de Diciembre 2025                                </t>
  </si>
  <si>
    <t xml:space="preserve">Efectivo al 31 de Marzo 2026                                </t>
  </si>
  <si>
    <t xml:space="preserve">Efectivo al 31 de Mayo 2026                                </t>
  </si>
  <si>
    <t>AL 30 DE JUNIO DEL 2026</t>
  </si>
  <si>
    <t>Aumento (Disminución) neto en el efectivo</t>
  </si>
  <si>
    <t xml:space="preserve">Efectivo al 30 de Junio 2026                                </t>
  </si>
  <si>
    <t>2do_Trimestre AL 30 DE JUNIO DEL 2026</t>
  </si>
  <si>
    <t>1er_Semestre AL 30 DE JUNIO DEL 2026</t>
  </si>
  <si>
    <t>Mobiliario y Equipo de Oficina</t>
  </si>
  <si>
    <t>Del 1 de Enero al 30 de Junio del 2026</t>
  </si>
  <si>
    <t>Del 1 al 30 de Junio del 2026</t>
  </si>
  <si>
    <t>Del 1 de Abril al 30 de Junio del 2026</t>
  </si>
  <si>
    <t>Utilidad o pérdida del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</si>
</sst>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43" fontId="3" fillId="0" borderId="0" xfId="1" applyFont="1"/>
    <xf numFmtId="0" fontId="2" fillId="0" borderId="0" xfId="0" applyFont="1"/>
    <xf numFmtId="43" fontId="3" fillId="0" borderId="1" xfId="1" applyFont="1" applyBorder="1"/>
    <xf numFmtId="43" fontId="2" fillId="0" borderId="0" xfId="1" applyFont="1"/>
    <xf numFmtId="43" fontId="3" fillId="0" borderId="0" xfId="1" applyFont="1" applyBorder="1"/>
    <xf numFmtId="43" fontId="4" fillId="0" borderId="0" xfId="1" applyFont="1"/>
    <xf numFmtId="0" fontId="4" fillId="0" borderId="0" xfId="0" applyFont="1"/>
    <xf numFmtId="43" fontId="2" fillId="0" borderId="1" xfId="1" applyFont="1" applyBorder="1"/>
    <xf numFmtId="43" fontId="2" fillId="0" borderId="2" xfId="1" applyFont="1" applyBorder="1"/>
    <xf numFmtId="0" fontId="2" fillId="0" borderId="0" xfId="0" applyFont="1" applyAlignment="1">
      <alignment horizontal="center"/>
    </xf>
    <xf numFmtId="164" fontId="0" fillId="0" borderId="0" xfId="0" applyNumberFormat="1"/>
    <xf numFmtId="43" fontId="3" fillId="0" borderId="0" xfId="1" applyFont="1" applyFill="1"/>
    <xf numFmtId="43" fontId="3" fillId="0" borderId="1" xfId="1" applyFont="1" applyFill="1" applyBorder="1"/>
    <xf numFmtId="43" fontId="2" fillId="0" borderId="0" xfId="1" applyFont="1" applyFill="1"/>
    <xf numFmtId="43" fontId="2" fillId="0" borderId="2" xfId="1" applyFont="1" applyFill="1" applyBorder="1"/>
    <xf numFmtId="43" fontId="3" fillId="0" borderId="0" xfId="1" applyFont="1" applyFill="1" applyBorder="1"/>
    <xf numFmtId="43" fontId="3" fillId="2" borderId="0" xfId="1" applyFont="1" applyFill="1"/>
    <xf numFmtId="43" fontId="3" fillId="3" borderId="0" xfId="1" applyFont="1" applyFill="1"/>
    <xf numFmtId="0" fontId="3" fillId="3" borderId="0" xfId="0" applyFont="1" applyFill="1"/>
    <xf numFmtId="0" fontId="3" fillId="2" borderId="0" xfId="0" applyFont="1" applyFill="1"/>
    <xf numFmtId="43" fontId="3" fillId="4" borderId="0" xfId="1" applyFont="1" applyFill="1"/>
    <xf numFmtId="43" fontId="3" fillId="5" borderId="0" xfId="1" applyFont="1" applyFill="1"/>
    <xf numFmtId="0" fontId="3" fillId="5" borderId="0" xfId="0" applyFont="1" applyFill="1"/>
    <xf numFmtId="43" fontId="3" fillId="6" borderId="1" xfId="1" applyFont="1" applyFill="1" applyBorder="1"/>
    <xf numFmtId="0" fontId="3" fillId="6" borderId="0" xfId="0" applyFont="1" applyFill="1"/>
    <xf numFmtId="43" fontId="3" fillId="7" borderId="0" xfId="1" applyFont="1" applyFill="1"/>
    <xf numFmtId="0" fontId="3" fillId="7" borderId="0" xfId="0" applyFont="1" applyFill="1"/>
    <xf numFmtId="43" fontId="3" fillId="8" borderId="0" xfId="1" applyFont="1" applyFill="1"/>
    <xf numFmtId="0" fontId="3" fillId="8" borderId="0" xfId="0" applyFont="1" applyFill="1"/>
    <xf numFmtId="43" fontId="3" fillId="9" borderId="0" xfId="1" applyFont="1" applyFill="1"/>
    <xf numFmtId="0" fontId="3" fillId="9" borderId="0" xfId="0" applyFont="1" applyFill="1"/>
    <xf numFmtId="0" fontId="3" fillId="10" borderId="0" xfId="0" applyFont="1" applyFill="1"/>
    <xf numFmtId="43" fontId="3" fillId="10" borderId="1" xfId="1" applyFont="1" applyFill="1" applyBorder="1"/>
    <xf numFmtId="0" fontId="3" fillId="11" borderId="0" xfId="0" applyFont="1" applyFill="1"/>
    <xf numFmtId="43" fontId="3" fillId="11" borderId="0" xfId="1" applyFont="1" applyFill="1"/>
    <xf numFmtId="0" fontId="3" fillId="12" borderId="0" xfId="0" applyFont="1" applyFill="1"/>
    <xf numFmtId="43" fontId="3" fillId="12" borderId="0" xfId="1" applyFont="1" applyFill="1"/>
    <xf numFmtId="0" fontId="3" fillId="13" borderId="0" xfId="0" applyFont="1" applyFill="1"/>
    <xf numFmtId="43" fontId="3" fillId="13" borderId="0" xfId="1" applyFont="1" applyFill="1"/>
    <xf numFmtId="43" fontId="2" fillId="14" borderId="1" xfId="1" applyFont="1" applyFill="1" applyBorder="1"/>
    <xf numFmtId="0" fontId="2" fillId="14" borderId="0" xfId="0" applyFont="1" applyFill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161926</xdr:colOff>
      <xdr:row>0</xdr:row>
      <xdr:rowOff>34008</xdr:rowOff>
    </xdr:from>
    <xdr:ext cx="876300" cy="534271"/>
    <xdr:pic>
      <xdr:nvPicPr>
        <xdr:cNvPr id="2" name="1 Imagen" descr="corazonperfecto.jpg">
          <a:extLst>
            <a:ext uri="{FF2B5EF4-FFF2-40B4-BE49-F238E27FC236}">
              <a16:creationId xmlns:a16="http://schemas.microsoft.com/office/drawing/2014/main" id="{B00F2BC9-8855-4C0A-820C-EF09A5C25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34008"/>
          <a:ext cx="876300" cy="534271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161926</xdr:colOff>
      <xdr:row>0</xdr:row>
      <xdr:rowOff>34008</xdr:rowOff>
    </xdr:from>
    <xdr:ext cx="876300" cy="534271"/>
    <xdr:pic>
      <xdr:nvPicPr>
        <xdr:cNvPr id="2" name="1 Imagen" descr="corazonperfecto.jpg">
          <a:extLst>
            <a:ext uri="{FF2B5EF4-FFF2-40B4-BE49-F238E27FC236}">
              <a16:creationId xmlns:a16="http://schemas.microsoft.com/office/drawing/2014/main" id="{009B892C-9719-43D1-9B20-F997359D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34008"/>
          <a:ext cx="876300" cy="534271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161926</xdr:colOff>
      <xdr:row>0</xdr:row>
      <xdr:rowOff>34008</xdr:rowOff>
    </xdr:from>
    <xdr:ext cx="876300" cy="534271"/>
    <xdr:pic>
      <xdr:nvPicPr>
        <xdr:cNvPr id="2" name="1 Imagen" descr="corazonperfecto.jpg">
          <a:extLst>
            <a:ext uri="{FF2B5EF4-FFF2-40B4-BE49-F238E27FC236}">
              <a16:creationId xmlns:a16="http://schemas.microsoft.com/office/drawing/2014/main" id="{D63074DB-D202-49B5-A7A9-4DC90EAF1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34008"/>
          <a:ext cx="876300" cy="53427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0BE2-69C9-4959-BDD0-A3A20533E7F0}">
  <sheetPr>
    <tabColor rgb="FFFFFF00"/>
  </sheetPr>
  <dimension ref="A1:E51"/>
  <sheetViews>
    <sheetView workbookViewId="0">
      <selection activeCell="B3" sqref="B3:D3"/>
    </sheetView>
  </sheetViews>
  <sheetFormatPr defaultColWidth="11.5546875" defaultRowHeight="14.4" x14ac:dyDescent="0.3"/>
  <cols>
    <col min="1" max="1" width="5" customWidth="1"/>
    <col min="3" max="3" width="48.109375" customWidth="1"/>
    <col min="4" max="4" width="23.6640625" customWidth="1"/>
    <col min="6" max="7" width="11.44140625" customWidth="1"/>
  </cols>
  <sheetData>
    <row r="1" spans="2:5" ht="15.6" x14ac:dyDescent="0.3">
      <c r="B1" s="43" t="s">
        <v>0</v>
      </c>
      <c r="C1" s="43"/>
      <c r="D1" s="43"/>
    </row>
    <row r="2" spans="2:5" ht="15.6" x14ac:dyDescent="0.3">
      <c r="B2" s="43" t="s">
        <v>1</v>
      </c>
      <c r="C2" s="43"/>
      <c r="D2" s="43"/>
    </row>
    <row r="3" spans="2:5" ht="15.6" x14ac:dyDescent="0.3">
      <c r="B3" s="43" t="s">
        <v>42</v>
      </c>
      <c r="C3" s="43"/>
      <c r="D3" s="43"/>
    </row>
    <row r="4" spans="2:5" ht="15.6" x14ac:dyDescent="0.3">
      <c r="B4" s="43" t="s">
        <v>49</v>
      </c>
      <c r="C4" s="43"/>
      <c r="D4" s="43"/>
      <c r="E4" s="11"/>
    </row>
    <row r="5" spans="2:5" ht="15.6" x14ac:dyDescent="0.3">
      <c r="B5" s="43" t="s">
        <v>2</v>
      </c>
      <c r="C5" s="43"/>
      <c r="D5" s="43"/>
    </row>
    <row r="6" spans="2:5" ht="15.6" x14ac:dyDescent="0.3">
      <c r="B6" s="1"/>
      <c r="C6" s="1"/>
      <c r="D6" s="2"/>
    </row>
    <row r="7" spans="2:5" ht="15.6" x14ac:dyDescent="0.3">
      <c r="B7" s="3" t="s">
        <v>3</v>
      </c>
      <c r="C7" s="3"/>
      <c r="D7" s="2"/>
    </row>
    <row r="8" spans="2:5" ht="15.6" x14ac:dyDescent="0.3">
      <c r="B8" s="3" t="s">
        <v>4</v>
      </c>
      <c r="C8" s="3"/>
      <c r="D8" s="2"/>
    </row>
    <row r="9" spans="2:5" ht="15.6" x14ac:dyDescent="0.3">
      <c r="B9" s="1" t="s">
        <v>51</v>
      </c>
      <c r="C9" s="1"/>
      <c r="D9" s="2">
        <v>-78548.570000000007</v>
      </c>
    </row>
    <row r="10" spans="2:5" ht="15.6" x14ac:dyDescent="0.3">
      <c r="B10" s="1" t="s">
        <v>5</v>
      </c>
      <c r="C10" s="1"/>
      <c r="D10" s="2">
        <v>-162447.37</v>
      </c>
    </row>
    <row r="11" spans="2:5" ht="15.6" x14ac:dyDescent="0.3">
      <c r="B11" s="1" t="s">
        <v>6</v>
      </c>
      <c r="C11" s="1"/>
      <c r="D11" s="2">
        <v>0</v>
      </c>
    </row>
    <row r="12" spans="2:5" ht="15.6" hidden="1" x14ac:dyDescent="0.3">
      <c r="B12" s="1" t="s">
        <v>7</v>
      </c>
      <c r="C12" s="1"/>
      <c r="D12" s="2">
        <v>0</v>
      </c>
    </row>
    <row r="13" spans="2:5" ht="15.6" x14ac:dyDescent="0.3">
      <c r="B13" s="1" t="s">
        <v>8</v>
      </c>
      <c r="C13" s="1"/>
      <c r="D13" s="2">
        <v>0</v>
      </c>
    </row>
    <row r="14" spans="2:5" ht="15.6" x14ac:dyDescent="0.3">
      <c r="B14" s="1" t="s">
        <v>9</v>
      </c>
      <c r="C14" s="1"/>
      <c r="D14" s="2">
        <v>0</v>
      </c>
    </row>
    <row r="15" spans="2:5" ht="15.6" x14ac:dyDescent="0.3">
      <c r="B15" s="1" t="s">
        <v>10</v>
      </c>
      <c r="C15" s="1"/>
      <c r="D15" s="2">
        <v>40341.57</v>
      </c>
    </row>
    <row r="16" spans="2:5" ht="15.6" x14ac:dyDescent="0.3">
      <c r="B16" s="1" t="s">
        <v>11</v>
      </c>
      <c r="C16" s="1"/>
      <c r="D16" s="2">
        <v>0</v>
      </c>
    </row>
    <row r="17" spans="2:4" ht="15.6" x14ac:dyDescent="0.3">
      <c r="B17" s="1" t="s">
        <v>12</v>
      </c>
      <c r="C17" s="1"/>
      <c r="D17" s="2">
        <v>0</v>
      </c>
    </row>
    <row r="18" spans="2:4" ht="15.6" x14ac:dyDescent="0.3">
      <c r="B18" s="1" t="s">
        <v>13</v>
      </c>
      <c r="C18" s="1"/>
      <c r="D18" s="2">
        <v>0</v>
      </c>
    </row>
    <row r="19" spans="2:4" ht="15.6" x14ac:dyDescent="0.3">
      <c r="B19" s="1" t="s">
        <v>14</v>
      </c>
      <c r="C19" s="1"/>
      <c r="D19" s="2">
        <v>117758.09</v>
      </c>
    </row>
    <row r="20" spans="2:4" ht="15.6" x14ac:dyDescent="0.3">
      <c r="B20" s="1" t="s">
        <v>15</v>
      </c>
      <c r="C20" s="1"/>
      <c r="D20" s="2">
        <v>0</v>
      </c>
    </row>
    <row r="21" spans="2:4" ht="15.6" x14ac:dyDescent="0.3">
      <c r="B21" s="1" t="s">
        <v>16</v>
      </c>
      <c r="C21" s="1"/>
      <c r="D21" s="2">
        <v>-18796.189999999999</v>
      </c>
    </row>
    <row r="22" spans="2:4" ht="15.6" x14ac:dyDescent="0.3">
      <c r="B22" s="1" t="s">
        <v>17</v>
      </c>
      <c r="C22" s="1"/>
      <c r="D22" s="2">
        <v>0</v>
      </c>
    </row>
    <row r="23" spans="2:4" ht="15.6" x14ac:dyDescent="0.3">
      <c r="B23" s="1" t="s">
        <v>18</v>
      </c>
      <c r="C23" s="1"/>
      <c r="D23" s="4">
        <v>-32613.360000000001</v>
      </c>
    </row>
    <row r="24" spans="2:4" ht="15.6" hidden="1" x14ac:dyDescent="0.3">
      <c r="B24" s="1" t="s">
        <v>19</v>
      </c>
      <c r="C24" s="1"/>
      <c r="D24" s="2">
        <v>0</v>
      </c>
    </row>
    <row r="25" spans="2:4" ht="15.6" hidden="1" x14ac:dyDescent="0.3">
      <c r="B25" s="1" t="s">
        <v>20</v>
      </c>
      <c r="C25" s="1"/>
      <c r="D25" s="2">
        <v>0</v>
      </c>
    </row>
    <row r="26" spans="2:4" ht="15.6" x14ac:dyDescent="0.3">
      <c r="B26" s="3" t="s">
        <v>21</v>
      </c>
      <c r="C26" s="3"/>
      <c r="D26" s="5">
        <f>SUM(D9:D25)</f>
        <v>-134305.83000000002</v>
      </c>
    </row>
    <row r="27" spans="2:4" ht="15.6" x14ac:dyDescent="0.3">
      <c r="B27" s="3" t="s">
        <v>22</v>
      </c>
      <c r="C27" s="3"/>
      <c r="D27" s="2"/>
    </row>
    <row r="28" spans="2:4" ht="15.6" x14ac:dyDescent="0.3">
      <c r="B28" s="1" t="s">
        <v>25</v>
      </c>
      <c r="C28" s="1"/>
      <c r="D28" s="2">
        <v>0</v>
      </c>
    </row>
    <row r="29" spans="2:4" ht="15.6" x14ac:dyDescent="0.3">
      <c r="B29" s="1" t="s">
        <v>33</v>
      </c>
      <c r="C29" s="1"/>
      <c r="D29" s="2">
        <v>0</v>
      </c>
    </row>
    <row r="30" spans="2:4" ht="15.6" x14ac:dyDescent="0.3">
      <c r="B30" s="1" t="s">
        <v>23</v>
      </c>
      <c r="C30" s="1"/>
      <c r="D30" s="2">
        <v>26822.34</v>
      </c>
    </row>
    <row r="31" spans="2:4" ht="15.6" x14ac:dyDescent="0.3">
      <c r="B31" s="1" t="s">
        <v>24</v>
      </c>
      <c r="C31" s="1"/>
      <c r="D31" s="2">
        <v>0</v>
      </c>
    </row>
    <row r="32" spans="2:4" ht="15.6" x14ac:dyDescent="0.3">
      <c r="B32" s="1" t="s">
        <v>34</v>
      </c>
      <c r="D32" s="2">
        <v>0</v>
      </c>
    </row>
    <row r="33" spans="1:4" ht="15.6" x14ac:dyDescent="0.3">
      <c r="B33" s="1" t="s">
        <v>35</v>
      </c>
      <c r="D33" s="2">
        <v>0</v>
      </c>
    </row>
    <row r="34" spans="1:4" ht="15.6" x14ac:dyDescent="0.3">
      <c r="B34" s="1" t="s">
        <v>36</v>
      </c>
      <c r="D34" s="4">
        <v>0</v>
      </c>
    </row>
    <row r="35" spans="1:4" ht="15.6" x14ac:dyDescent="0.3">
      <c r="B35" s="3" t="s">
        <v>26</v>
      </c>
      <c r="C35" s="3"/>
      <c r="D35" s="5">
        <f>SUM(D29:D34)</f>
        <v>26822.34</v>
      </c>
    </row>
    <row r="36" spans="1:4" ht="15.6" x14ac:dyDescent="0.3">
      <c r="B36" s="3" t="s">
        <v>27</v>
      </c>
      <c r="C36" s="3"/>
      <c r="D36" s="2">
        <v>0</v>
      </c>
    </row>
    <row r="37" spans="1:4" ht="15.6" x14ac:dyDescent="0.3">
      <c r="B37" s="3" t="s">
        <v>43</v>
      </c>
      <c r="C37" s="3"/>
      <c r="D37" s="5">
        <f>SUM(-D26-D35)</f>
        <v>107483.49000000002</v>
      </c>
    </row>
    <row r="38" spans="1:4" ht="15.6" x14ac:dyDescent="0.3">
      <c r="B38" s="3" t="s">
        <v>41</v>
      </c>
      <c r="C38" s="3"/>
      <c r="D38" s="9">
        <v>501152.6</v>
      </c>
    </row>
    <row r="39" spans="1:4" ht="16.2" thickBot="1" x14ac:dyDescent="0.35">
      <c r="B39" s="3" t="s">
        <v>44</v>
      </c>
      <c r="C39" s="3"/>
      <c r="D39" s="10">
        <f>SUM(D38+D37)</f>
        <v>608636.09</v>
      </c>
    </row>
    <row r="40" spans="1:4" ht="16.2" thickTop="1" x14ac:dyDescent="0.3">
      <c r="B40" s="3"/>
      <c r="C40" s="3"/>
      <c r="D40" s="6"/>
    </row>
    <row r="41" spans="1:4" ht="15.6" x14ac:dyDescent="0.3">
      <c r="B41" s="3"/>
      <c r="C41" s="3"/>
      <c r="D41" s="6"/>
    </row>
    <row r="42" spans="1:4" ht="15.6" x14ac:dyDescent="0.3">
      <c r="A42" s="7" t="s">
        <v>28</v>
      </c>
      <c r="B42" s="3"/>
      <c r="C42" s="3"/>
      <c r="D42" s="8" t="s">
        <v>29</v>
      </c>
    </row>
    <row r="43" spans="1:4" ht="15.6" x14ac:dyDescent="0.3">
      <c r="A43" s="7" t="s">
        <v>30</v>
      </c>
      <c r="B43" s="1"/>
      <c r="C43" s="3"/>
      <c r="D43" s="8" t="s">
        <v>37</v>
      </c>
    </row>
    <row r="44" spans="1:4" ht="15.6" x14ac:dyDescent="0.3">
      <c r="A44" s="7" t="s">
        <v>31</v>
      </c>
      <c r="B44" s="1"/>
      <c r="C44" s="3"/>
      <c r="D44" s="8" t="s">
        <v>32</v>
      </c>
    </row>
    <row r="45" spans="1:4" ht="15.6" x14ac:dyDescent="0.3">
      <c r="B45" s="1"/>
      <c r="C45" s="3"/>
    </row>
    <row r="46" spans="1:4" ht="15.6" x14ac:dyDescent="0.3">
      <c r="B46" s="3"/>
      <c r="C46" s="3"/>
      <c r="D46" s="6"/>
    </row>
    <row r="47" spans="1:4" ht="15.6" x14ac:dyDescent="0.3">
      <c r="B47" s="3"/>
      <c r="C47" s="3"/>
      <c r="D47" s="6"/>
    </row>
    <row r="48" spans="1:4" ht="15.6" x14ac:dyDescent="0.3">
      <c r="B48" s="1"/>
      <c r="C48" s="1"/>
      <c r="D48" s="2"/>
    </row>
    <row r="49" spans="2:4" ht="15.6" x14ac:dyDescent="0.3">
      <c r="B49" s="1"/>
      <c r="D49" s="2"/>
    </row>
    <row r="50" spans="2:4" ht="15.6" x14ac:dyDescent="0.3">
      <c r="B50" s="1"/>
      <c r="D50" s="2"/>
    </row>
    <row r="51" spans="2:4" ht="15.6" x14ac:dyDescent="0.3">
      <c r="B51" s="1"/>
      <c r="D51" s="2"/>
    </row>
  </sheetData>
  <mergeCells count="5">
    <mergeCell ref="B1:D1"/>
    <mergeCell ref="B2:D2"/>
    <mergeCell ref="B3:D3"/>
    <mergeCell ref="B5:D5"/>
    <mergeCell ref="B4:D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7FEA-6142-4D28-B2EB-20284796D1DC}">
  <sheetPr>
    <tabColor rgb="FFFFFF00"/>
  </sheetPr>
  <dimension ref="A1:F51"/>
  <sheetViews>
    <sheetView topLeftCell="B1" workbookViewId="0">
      <selection activeCell="D9" sqref="D9"/>
    </sheetView>
  </sheetViews>
  <sheetFormatPr defaultColWidth="11.5546875" defaultRowHeight="14.4" x14ac:dyDescent="0.3"/>
  <cols>
    <col min="1" max="1" width="5" customWidth="1"/>
    <col min="3" max="3" width="48.109375" customWidth="1"/>
    <col min="4" max="4" width="23.6640625" customWidth="1"/>
    <col min="6" max="7" width="11.44140625" customWidth="1"/>
  </cols>
  <sheetData>
    <row r="1" spans="2:4" ht="15.6" x14ac:dyDescent="0.3">
      <c r="B1" s="43" t="s">
        <v>0</v>
      </c>
      <c r="C1" s="43"/>
      <c r="D1" s="43"/>
    </row>
    <row r="2" spans="2:4" ht="15.6" x14ac:dyDescent="0.3">
      <c r="B2" s="43" t="s">
        <v>1</v>
      </c>
      <c r="C2" s="43"/>
      <c r="D2" s="43"/>
    </row>
    <row r="3" spans="2:4" ht="15.6" x14ac:dyDescent="0.3">
      <c r="B3" s="43" t="s">
        <v>45</v>
      </c>
      <c r="C3" s="43"/>
      <c r="D3" s="43"/>
    </row>
    <row r="4" spans="2:4" ht="15.6" x14ac:dyDescent="0.3">
      <c r="B4" s="43" t="s">
        <v>50</v>
      </c>
      <c r="C4" s="43"/>
      <c r="D4" s="43"/>
    </row>
    <row r="5" spans="2:4" ht="15.6" x14ac:dyDescent="0.3">
      <c r="B5" s="43" t="s">
        <v>2</v>
      </c>
      <c r="C5" s="43"/>
      <c r="D5" s="43"/>
    </row>
    <row r="6" spans="2:4" ht="15.6" x14ac:dyDescent="0.3">
      <c r="B6" s="1"/>
      <c r="C6" s="1"/>
      <c r="D6" s="2"/>
    </row>
    <row r="7" spans="2:4" ht="15.6" x14ac:dyDescent="0.3">
      <c r="B7" s="3" t="s">
        <v>3</v>
      </c>
      <c r="C7" s="3"/>
      <c r="D7" s="2"/>
    </row>
    <row r="8" spans="2:4" ht="15.6" x14ac:dyDescent="0.3">
      <c r="B8" s="3" t="s">
        <v>4</v>
      </c>
      <c r="C8" s="3"/>
      <c r="D8" s="2"/>
    </row>
    <row r="9" spans="2:4" ht="15.6" x14ac:dyDescent="0.3">
      <c r="B9" s="1" t="s">
        <v>51</v>
      </c>
      <c r="C9" s="1"/>
      <c r="D9" s="2">
        <v>378367.54</v>
      </c>
    </row>
    <row r="10" spans="2:4" ht="15.6" x14ac:dyDescent="0.3">
      <c r="B10" s="1" t="s">
        <v>5</v>
      </c>
      <c r="C10" s="1"/>
      <c r="D10" s="2">
        <v>1819506.65</v>
      </c>
    </row>
    <row r="11" spans="2:4" ht="15.6" x14ac:dyDescent="0.3">
      <c r="B11" s="1" t="s">
        <v>6</v>
      </c>
      <c r="C11" s="1"/>
      <c r="D11" s="2">
        <v>0</v>
      </c>
    </row>
    <row r="12" spans="2:4" ht="15.6" hidden="1" x14ac:dyDescent="0.3">
      <c r="B12" s="1" t="s">
        <v>7</v>
      </c>
      <c r="C12" s="1"/>
      <c r="D12" s="2">
        <v>0</v>
      </c>
    </row>
    <row r="13" spans="2:4" ht="15.6" x14ac:dyDescent="0.3">
      <c r="B13" s="1" t="s">
        <v>8</v>
      </c>
      <c r="C13" s="1"/>
      <c r="D13" s="2">
        <v>0</v>
      </c>
    </row>
    <row r="14" spans="2:4" ht="15.6" x14ac:dyDescent="0.3">
      <c r="B14" s="1" t="s">
        <v>9</v>
      </c>
      <c r="C14" s="1"/>
      <c r="D14" s="2">
        <v>0</v>
      </c>
    </row>
    <row r="15" spans="2:4" ht="15.6" x14ac:dyDescent="0.3">
      <c r="B15" s="1" t="s">
        <v>10</v>
      </c>
      <c r="C15" s="1"/>
      <c r="D15" s="2">
        <v>115352.96000000001</v>
      </c>
    </row>
    <row r="16" spans="2:4" ht="15.6" x14ac:dyDescent="0.3">
      <c r="B16" s="1" t="s">
        <v>11</v>
      </c>
      <c r="C16" s="1"/>
      <c r="D16" s="2">
        <v>0</v>
      </c>
    </row>
    <row r="17" spans="2:4" ht="15.6" x14ac:dyDescent="0.3">
      <c r="B17" s="1" t="s">
        <v>12</v>
      </c>
      <c r="C17" s="1"/>
      <c r="D17" s="2">
        <v>0</v>
      </c>
    </row>
    <row r="18" spans="2:4" ht="15.6" x14ac:dyDescent="0.3">
      <c r="B18" s="1" t="s">
        <v>13</v>
      </c>
      <c r="C18" s="1"/>
      <c r="D18" s="2">
        <v>0</v>
      </c>
    </row>
    <row r="19" spans="2:4" ht="15.6" x14ac:dyDescent="0.3">
      <c r="B19" s="1" t="s">
        <v>14</v>
      </c>
      <c r="C19" s="1"/>
      <c r="D19" s="2">
        <v>233000.1</v>
      </c>
    </row>
    <row r="20" spans="2:4" ht="15.6" x14ac:dyDescent="0.3">
      <c r="B20" s="1" t="s">
        <v>15</v>
      </c>
      <c r="C20" s="1"/>
      <c r="D20" s="2">
        <v>0</v>
      </c>
    </row>
    <row r="21" spans="2:4" ht="15.6" x14ac:dyDescent="0.3">
      <c r="B21" s="1" t="s">
        <v>16</v>
      </c>
      <c r="C21" s="1"/>
      <c r="D21" s="2">
        <v>-114303.39</v>
      </c>
    </row>
    <row r="22" spans="2:4" ht="15.6" x14ac:dyDescent="0.3">
      <c r="B22" s="1" t="s">
        <v>17</v>
      </c>
      <c r="C22" s="1"/>
      <c r="D22" s="2">
        <v>0</v>
      </c>
    </row>
    <row r="23" spans="2:4" ht="15.6" x14ac:dyDescent="0.3">
      <c r="B23" s="1" t="s">
        <v>18</v>
      </c>
      <c r="C23" s="1"/>
      <c r="D23" s="4">
        <v>-57554.52</v>
      </c>
    </row>
    <row r="24" spans="2:4" ht="15.6" hidden="1" x14ac:dyDescent="0.3">
      <c r="B24" s="1" t="s">
        <v>19</v>
      </c>
      <c r="C24" s="1"/>
      <c r="D24" s="2">
        <v>0</v>
      </c>
    </row>
    <row r="25" spans="2:4" ht="15.6" hidden="1" x14ac:dyDescent="0.3">
      <c r="B25" s="1" t="s">
        <v>20</v>
      </c>
      <c r="C25" s="1"/>
      <c r="D25" s="2">
        <v>0</v>
      </c>
    </row>
    <row r="26" spans="2:4" ht="15.6" x14ac:dyDescent="0.3">
      <c r="B26" s="3" t="s">
        <v>21</v>
      </c>
      <c r="C26" s="3"/>
      <c r="D26" s="5">
        <f>SUM(D9:D25)</f>
        <v>2374369.34</v>
      </c>
    </row>
    <row r="27" spans="2:4" ht="15.6" x14ac:dyDescent="0.3">
      <c r="B27" s="3" t="s">
        <v>22</v>
      </c>
      <c r="C27" s="3"/>
      <c r="D27" s="2"/>
    </row>
    <row r="28" spans="2:4" ht="15.6" x14ac:dyDescent="0.3">
      <c r="B28" s="1" t="s">
        <v>25</v>
      </c>
      <c r="C28" s="1"/>
      <c r="D28" s="2">
        <v>0</v>
      </c>
    </row>
    <row r="29" spans="2:4" ht="15.6" x14ac:dyDescent="0.3">
      <c r="B29" s="1" t="s">
        <v>33</v>
      </c>
      <c r="C29" s="1"/>
      <c r="D29" s="2">
        <v>0</v>
      </c>
    </row>
    <row r="30" spans="2:4" ht="15.6" x14ac:dyDescent="0.3">
      <c r="B30" s="1" t="s">
        <v>23</v>
      </c>
      <c r="C30" s="1"/>
      <c r="D30" s="2">
        <v>82212.66</v>
      </c>
    </row>
    <row r="31" spans="2:4" ht="15.6" x14ac:dyDescent="0.3">
      <c r="B31" s="1" t="s">
        <v>24</v>
      </c>
      <c r="C31" s="1"/>
      <c r="D31" s="2">
        <v>-2306849.7599999998</v>
      </c>
    </row>
    <row r="32" spans="2:4" ht="15.6" x14ac:dyDescent="0.3">
      <c r="B32" s="1" t="s">
        <v>34</v>
      </c>
      <c r="D32" s="2">
        <v>0</v>
      </c>
    </row>
    <row r="33" spans="1:6" ht="15.6" x14ac:dyDescent="0.3">
      <c r="B33" s="1" t="s">
        <v>35</v>
      </c>
      <c r="D33" s="2">
        <v>0</v>
      </c>
    </row>
    <row r="34" spans="1:6" ht="15.6" x14ac:dyDescent="0.3">
      <c r="B34" s="1" t="s">
        <v>36</v>
      </c>
      <c r="D34" s="4">
        <v>0</v>
      </c>
    </row>
    <row r="35" spans="1:6" ht="15.6" x14ac:dyDescent="0.3">
      <c r="B35" s="3" t="s">
        <v>26</v>
      </c>
      <c r="C35" s="3"/>
      <c r="D35" s="5">
        <f>SUM(D29:D34)</f>
        <v>-2224637.0999999996</v>
      </c>
    </row>
    <row r="36" spans="1:6" ht="15.6" x14ac:dyDescent="0.3">
      <c r="B36" s="3" t="s">
        <v>27</v>
      </c>
      <c r="C36" s="3"/>
      <c r="D36" s="2">
        <v>0</v>
      </c>
    </row>
    <row r="37" spans="1:6" ht="15.6" x14ac:dyDescent="0.3">
      <c r="B37" s="3" t="s">
        <v>43</v>
      </c>
      <c r="C37" s="3"/>
      <c r="D37" s="5">
        <f>SUM(-D26-D35)</f>
        <v>-149732.24000000022</v>
      </c>
      <c r="F37" s="12"/>
    </row>
    <row r="38" spans="1:6" ht="15.6" x14ac:dyDescent="0.3">
      <c r="B38" s="3" t="s">
        <v>40</v>
      </c>
      <c r="C38" s="3"/>
      <c r="D38" s="9">
        <v>758368.33</v>
      </c>
    </row>
    <row r="39" spans="1:6" ht="16.2" thickBot="1" x14ac:dyDescent="0.35">
      <c r="B39" s="3" t="s">
        <v>44</v>
      </c>
      <c r="C39" s="3"/>
      <c r="D39" s="10">
        <f>SUM(D38+D37)</f>
        <v>608636.08999999973</v>
      </c>
    </row>
    <row r="40" spans="1:6" ht="16.2" thickTop="1" x14ac:dyDescent="0.3">
      <c r="B40" s="3"/>
      <c r="C40" s="3"/>
      <c r="D40" s="6"/>
    </row>
    <row r="41" spans="1:6" ht="15.6" x14ac:dyDescent="0.3">
      <c r="B41" s="3"/>
      <c r="C41" s="3"/>
      <c r="D41" s="6"/>
    </row>
    <row r="42" spans="1:6" ht="15.6" x14ac:dyDescent="0.3">
      <c r="A42" s="7" t="s">
        <v>28</v>
      </c>
      <c r="B42" s="3"/>
      <c r="C42" s="3"/>
      <c r="D42" s="8" t="s">
        <v>29</v>
      </c>
    </row>
    <row r="43" spans="1:6" ht="15.6" x14ac:dyDescent="0.3">
      <c r="A43" s="7" t="s">
        <v>30</v>
      </c>
      <c r="B43" s="1"/>
      <c r="C43" s="3"/>
      <c r="D43" s="8" t="s">
        <v>37</v>
      </c>
    </row>
    <row r="44" spans="1:6" ht="15.6" x14ac:dyDescent="0.3">
      <c r="A44" s="7" t="s">
        <v>31</v>
      </c>
      <c r="B44" s="1"/>
      <c r="C44" s="3"/>
      <c r="D44" s="8" t="s">
        <v>32</v>
      </c>
    </row>
    <row r="45" spans="1:6" ht="15.6" x14ac:dyDescent="0.3">
      <c r="B45" s="1"/>
      <c r="C45" s="3"/>
    </row>
    <row r="46" spans="1:6" ht="15.6" x14ac:dyDescent="0.3">
      <c r="B46" s="3"/>
      <c r="C46" s="3"/>
      <c r="D46" s="6"/>
    </row>
    <row r="47" spans="1:6" ht="15.6" x14ac:dyDescent="0.3">
      <c r="B47" s="3"/>
      <c r="C47" s="3"/>
      <c r="D47" s="6"/>
    </row>
    <row r="48" spans="1:6" ht="15.6" x14ac:dyDescent="0.3">
      <c r="B48" s="1"/>
      <c r="C48" s="1"/>
      <c r="D48" s="2"/>
    </row>
    <row r="49" spans="2:4" ht="15.6" x14ac:dyDescent="0.3">
      <c r="B49" s="1"/>
      <c r="D49" s="2"/>
    </row>
    <row r="50" spans="2:4" ht="15.6" x14ac:dyDescent="0.3">
      <c r="B50" s="1"/>
      <c r="D50" s="2"/>
    </row>
    <row r="51" spans="2:4" ht="15.6" x14ac:dyDescent="0.3">
      <c r="B51" s="1"/>
      <c r="D51" s="2"/>
    </row>
  </sheetData>
  <mergeCells count="5">
    <mergeCell ref="B1:D1"/>
    <mergeCell ref="B2:D2"/>
    <mergeCell ref="B3:D3"/>
    <mergeCell ref="B5:D5"/>
    <mergeCell ref="B4:D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F3C1-8788-499C-BC9C-46DEF2B30B9D}">
  <sheetPr>
    <tabColor rgb="FFFFFF00"/>
  </sheetPr>
  <dimension ref="A1:E52"/>
  <sheetViews>
    <sheetView tabSelected="1" topLeftCell="A4" workbookViewId="0">
      <selection activeCell="F27" sqref="F27"/>
    </sheetView>
  </sheetViews>
  <sheetFormatPr defaultColWidth="11.5546875" defaultRowHeight="14.4" x14ac:dyDescent="0.3"/>
  <cols>
    <col min="1" max="1" width="5" customWidth="1"/>
    <col min="3" max="3" width="48.109375" customWidth="1"/>
    <col min="4" max="4" width="23.6640625" customWidth="1"/>
  </cols>
  <sheetData>
    <row r="1" spans="2:5" ht="15.6" x14ac:dyDescent="0.3">
      <c r="B1" s="43" t="s">
        <v>0</v>
      </c>
      <c r="C1" s="43"/>
      <c r="D1" s="43"/>
    </row>
    <row r="2" spans="2:5" ht="15.6" x14ac:dyDescent="0.3">
      <c r="B2" s="43" t="s">
        <v>1</v>
      </c>
      <c r="C2" s="43"/>
      <c r="D2" s="43"/>
    </row>
    <row r="3" spans="2:5" ht="15.6" x14ac:dyDescent="0.3">
      <c r="B3" s="43" t="s">
        <v>46</v>
      </c>
      <c r="C3" s="43"/>
      <c r="D3" s="43"/>
    </row>
    <row r="4" spans="2:5" ht="15.6" x14ac:dyDescent="0.3">
      <c r="B4" s="43" t="s">
        <v>48</v>
      </c>
      <c r="C4" s="43"/>
      <c r="D4" s="43"/>
      <c r="E4" s="3"/>
    </row>
    <row r="5" spans="2:5" ht="15.6" x14ac:dyDescent="0.3">
      <c r="B5" s="43" t="s">
        <v>2</v>
      </c>
      <c r="C5" s="43"/>
      <c r="D5" s="43"/>
    </row>
    <row r="6" spans="2:5" ht="15.6" x14ac:dyDescent="0.3">
      <c r="B6" s="1"/>
      <c r="C6" s="1"/>
      <c r="D6" s="13"/>
    </row>
    <row r="7" spans="2:5" ht="15.6" x14ac:dyDescent="0.3">
      <c r="B7" s="3" t="s">
        <v>3</v>
      </c>
      <c r="C7" s="3"/>
      <c r="D7" s="13"/>
    </row>
    <row r="8" spans="2:5" ht="15.6" x14ac:dyDescent="0.3">
      <c r="B8" s="3" t="s">
        <v>4</v>
      </c>
      <c r="C8" s="3"/>
      <c r="D8" s="13"/>
    </row>
    <row r="9" spans="2:5" ht="15.6" x14ac:dyDescent="0.3">
      <c r="B9" s="1" t="s">
        <v>51</v>
      </c>
      <c r="C9" s="1"/>
      <c r="D9" s="13">
        <v>1071728.2</v>
      </c>
    </row>
    <row r="10" spans="2:5" ht="15.6" x14ac:dyDescent="0.3">
      <c r="B10" s="21" t="s">
        <v>5</v>
      </c>
      <c r="C10" s="1"/>
      <c r="D10" s="18">
        <v>1387100.93</v>
      </c>
    </row>
    <row r="11" spans="2:5" ht="15.6" x14ac:dyDescent="0.3">
      <c r="B11" s="1" t="s">
        <v>6</v>
      </c>
      <c r="C11" s="1"/>
      <c r="D11" s="13">
        <v>0</v>
      </c>
    </row>
    <row r="12" spans="2:5" ht="15.6" x14ac:dyDescent="0.3">
      <c r="B12" s="1" t="s">
        <v>7</v>
      </c>
      <c r="C12" s="1"/>
      <c r="D12" s="13">
        <v>0</v>
      </c>
    </row>
    <row r="13" spans="2:5" ht="15.6" x14ac:dyDescent="0.3">
      <c r="B13" s="1" t="s">
        <v>8</v>
      </c>
      <c r="C13" s="1"/>
      <c r="D13" s="13">
        <v>0</v>
      </c>
    </row>
    <row r="14" spans="2:5" ht="15.6" x14ac:dyDescent="0.3">
      <c r="B14" s="1" t="s">
        <v>9</v>
      </c>
      <c r="C14" s="1"/>
      <c r="D14" s="13">
        <v>0</v>
      </c>
    </row>
    <row r="15" spans="2:5" ht="15.6" x14ac:dyDescent="0.3">
      <c r="B15" s="20" t="s">
        <v>10</v>
      </c>
      <c r="C15" s="20"/>
      <c r="D15" s="19">
        <v>-224001.97</v>
      </c>
    </row>
    <row r="16" spans="2:5" ht="15.6" x14ac:dyDescent="0.3">
      <c r="B16" s="1" t="s">
        <v>11</v>
      </c>
      <c r="C16" s="1"/>
      <c r="D16" s="13">
        <v>0</v>
      </c>
    </row>
    <row r="17" spans="2:4" ht="15.6" x14ac:dyDescent="0.3">
      <c r="B17" s="1" t="s">
        <v>12</v>
      </c>
      <c r="C17" s="1"/>
      <c r="D17" s="13">
        <v>0</v>
      </c>
    </row>
    <row r="18" spans="2:4" ht="15.6" x14ac:dyDescent="0.3">
      <c r="B18" s="1" t="s">
        <v>13</v>
      </c>
      <c r="C18" s="1"/>
      <c r="D18" s="13">
        <v>0</v>
      </c>
    </row>
    <row r="19" spans="2:4" ht="15.6" x14ac:dyDescent="0.3">
      <c r="B19" s="1" t="s">
        <v>14</v>
      </c>
      <c r="C19" s="1"/>
      <c r="D19" s="22">
        <v>-434883.5</v>
      </c>
    </row>
    <row r="20" spans="2:4" ht="15.6" x14ac:dyDescent="0.3">
      <c r="B20" s="1" t="s">
        <v>15</v>
      </c>
      <c r="C20" s="1"/>
      <c r="D20" s="13">
        <v>0</v>
      </c>
    </row>
    <row r="21" spans="2:4" ht="15.6" x14ac:dyDescent="0.3">
      <c r="B21" s="24" t="s">
        <v>16</v>
      </c>
      <c r="C21" s="1"/>
      <c r="D21" s="23">
        <v>257032.61</v>
      </c>
    </row>
    <row r="22" spans="2:4" ht="15.6" x14ac:dyDescent="0.3">
      <c r="B22" s="1" t="s">
        <v>17</v>
      </c>
      <c r="C22" s="1"/>
      <c r="D22" s="13">
        <v>0</v>
      </c>
    </row>
    <row r="23" spans="2:4" ht="15.6" x14ac:dyDescent="0.3">
      <c r="B23" s="26" t="s">
        <v>18</v>
      </c>
      <c r="C23" s="1"/>
      <c r="D23" s="25">
        <v>-228292.14</v>
      </c>
    </row>
    <row r="24" spans="2:4" ht="15.6" hidden="1" x14ac:dyDescent="0.3">
      <c r="B24" s="1" t="s">
        <v>19</v>
      </c>
      <c r="C24" s="1"/>
      <c r="D24" s="13">
        <v>0</v>
      </c>
    </row>
    <row r="25" spans="2:4" ht="15.6" hidden="1" x14ac:dyDescent="0.3">
      <c r="B25" s="1" t="s">
        <v>20</v>
      </c>
      <c r="C25" s="1"/>
      <c r="D25" s="13">
        <v>0</v>
      </c>
    </row>
    <row r="26" spans="2:4" ht="15.6" hidden="1" x14ac:dyDescent="0.3">
      <c r="B26" s="1" t="s">
        <v>38</v>
      </c>
      <c r="C26" s="1"/>
      <c r="D26" s="14">
        <v>0</v>
      </c>
    </row>
    <row r="27" spans="2:4" ht="15.6" x14ac:dyDescent="0.3">
      <c r="B27" s="3" t="s">
        <v>21</v>
      </c>
      <c r="C27" s="3"/>
      <c r="D27" s="15">
        <f>SUM(D9:D26)</f>
        <v>1828684.1299999994</v>
      </c>
    </row>
    <row r="28" spans="2:4" ht="15.6" x14ac:dyDescent="0.3">
      <c r="B28" s="3" t="s">
        <v>22</v>
      </c>
      <c r="C28" s="3"/>
      <c r="D28" s="13"/>
    </row>
    <row r="29" spans="2:4" ht="15.6" x14ac:dyDescent="0.3">
      <c r="B29" s="37" t="s">
        <v>25</v>
      </c>
      <c r="C29" s="1"/>
      <c r="D29" s="38">
        <v>0</v>
      </c>
    </row>
    <row r="30" spans="2:4" ht="15.6" x14ac:dyDescent="0.3">
      <c r="B30" s="35" t="s">
        <v>33</v>
      </c>
      <c r="C30" s="1"/>
      <c r="D30" s="36">
        <v>0</v>
      </c>
    </row>
    <row r="31" spans="2:4" ht="15.6" x14ac:dyDescent="0.3">
      <c r="B31" s="28" t="s">
        <v>47</v>
      </c>
      <c r="C31" s="1"/>
      <c r="D31" s="27">
        <v>252594.58</v>
      </c>
    </row>
    <row r="32" spans="2:4" ht="15.6" x14ac:dyDescent="0.3">
      <c r="B32" s="30" t="s">
        <v>24</v>
      </c>
      <c r="C32" s="1"/>
      <c r="D32" s="29">
        <v>-1217121.76</v>
      </c>
    </row>
    <row r="33" spans="1:4" ht="15.6" x14ac:dyDescent="0.3">
      <c r="B33" s="39" t="s">
        <v>34</v>
      </c>
      <c r="D33" s="40">
        <v>0</v>
      </c>
    </row>
    <row r="34" spans="1:4" ht="15.6" x14ac:dyDescent="0.3">
      <c r="B34" s="32" t="s">
        <v>35</v>
      </c>
      <c r="D34" s="31">
        <v>1955360.99</v>
      </c>
    </row>
    <row r="35" spans="1:4" ht="15.6" x14ac:dyDescent="0.3">
      <c r="B35" s="33" t="s">
        <v>36</v>
      </c>
      <c r="D35" s="34">
        <v>-1505507.75</v>
      </c>
    </row>
    <row r="36" spans="1:4" ht="15.6" x14ac:dyDescent="0.3">
      <c r="B36" s="3" t="s">
        <v>26</v>
      </c>
      <c r="C36" s="3"/>
      <c r="D36" s="15">
        <f>SUM(D30:D35)</f>
        <v>-514673.94000000006</v>
      </c>
    </row>
    <row r="37" spans="1:4" ht="15.6" x14ac:dyDescent="0.3">
      <c r="B37" s="3" t="s">
        <v>27</v>
      </c>
      <c r="C37" s="3"/>
      <c r="D37" s="13">
        <v>0</v>
      </c>
    </row>
    <row r="38" spans="1:4" ht="15.6" x14ac:dyDescent="0.3">
      <c r="B38" s="3" t="s">
        <v>43</v>
      </c>
      <c r="C38" s="3"/>
      <c r="D38" s="15">
        <f>SUM(-D27-D36)</f>
        <v>-1314010.1899999995</v>
      </c>
    </row>
    <row r="39" spans="1:4" ht="15.6" x14ac:dyDescent="0.3">
      <c r="B39" s="42" t="s">
        <v>39</v>
      </c>
      <c r="C39" s="3"/>
      <c r="D39" s="41">
        <v>1922646.28</v>
      </c>
    </row>
    <row r="40" spans="1:4" ht="16.2" thickBot="1" x14ac:dyDescent="0.35">
      <c r="B40" s="3" t="s">
        <v>44</v>
      </c>
      <c r="C40" s="3"/>
      <c r="D40" s="16">
        <f>SUM(D39+D38)</f>
        <v>608636.09000000055</v>
      </c>
    </row>
    <row r="41" spans="1:4" ht="16.2" thickTop="1" x14ac:dyDescent="0.3">
      <c r="B41" s="3"/>
      <c r="C41" s="3"/>
      <c r="D41" s="17"/>
    </row>
    <row r="42" spans="1:4" ht="15.6" x14ac:dyDescent="0.3">
      <c r="B42" s="3"/>
      <c r="C42" s="3"/>
      <c r="D42" s="17"/>
    </row>
    <row r="43" spans="1:4" ht="15.6" x14ac:dyDescent="0.3">
      <c r="A43" s="7" t="s">
        <v>28</v>
      </c>
      <c r="B43" s="3"/>
      <c r="C43" s="3"/>
      <c r="D43" s="8" t="s">
        <v>29</v>
      </c>
    </row>
    <row r="44" spans="1:4" ht="15.6" x14ac:dyDescent="0.3">
      <c r="A44" s="7" t="s">
        <v>30</v>
      </c>
      <c r="B44" s="1"/>
      <c r="C44" s="3"/>
      <c r="D44" s="8" t="s">
        <v>37</v>
      </c>
    </row>
    <row r="45" spans="1:4" ht="15.6" x14ac:dyDescent="0.3">
      <c r="A45" s="7" t="s">
        <v>31</v>
      </c>
      <c r="B45" s="1"/>
      <c r="C45" s="3"/>
      <c r="D45" s="8" t="s">
        <v>32</v>
      </c>
    </row>
    <row r="46" spans="1:4" ht="15.6" x14ac:dyDescent="0.3">
      <c r="B46" s="1"/>
      <c r="C46" s="3"/>
    </row>
    <row r="47" spans="1:4" ht="15.6" x14ac:dyDescent="0.3">
      <c r="B47" s="3"/>
      <c r="C47" s="3"/>
      <c r="D47" s="17"/>
    </row>
    <row r="48" spans="1:4" ht="15.6" x14ac:dyDescent="0.3">
      <c r="B48" s="3"/>
      <c r="C48" s="3"/>
      <c r="D48" s="17"/>
    </row>
    <row r="49" spans="2:4" ht="15.6" x14ac:dyDescent="0.3">
      <c r="B49" s="1"/>
      <c r="C49" s="1"/>
      <c r="D49" s="13"/>
    </row>
    <row r="50" spans="2:4" ht="15.6" x14ac:dyDescent="0.3">
      <c r="B50" s="1"/>
      <c r="D50" s="13"/>
    </row>
    <row r="51" spans="2:4" ht="15.6" x14ac:dyDescent="0.3">
      <c r="B51" s="1"/>
      <c r="D51" s="13"/>
    </row>
    <row r="52" spans="2:4" ht="15.6" x14ac:dyDescent="0.3">
      <c r="B52" s="1"/>
      <c r="D52" s="13"/>
    </row>
  </sheetData>
  <mergeCells count="5">
    <mergeCell ref="B1:D1"/>
    <mergeCell ref="B2:D2"/>
    <mergeCell ref="B3:D3"/>
    <mergeCell ref="B5:D5"/>
    <mergeCell ref="B4:D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Flujo de Efectivo JUNIO 2026</vt:lpstr>
      <vt:lpstr>Flujo Efectivo 2do_Trim_2026</vt:lpstr>
      <vt:lpstr>Flujo Efectivo1er.semestre_2026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Ramón Arriaza</dc:creator>
  <cp:lastModifiedBy>GeorgeA</cp:lastModifiedBy>
  <cp:lastPrinted>2026-08-09T16:35:30Z</cp:lastPrinted>
  <dcterms:created xsi:type="dcterms:W3CDTF">2024-07-25T00:13:29Z</dcterms:created>
  <dcterms:modified xsi:type="dcterms:W3CDTF">2026-09-08T16:41:52Z</dcterms:modified>
</cp:coreProperties>
</file>