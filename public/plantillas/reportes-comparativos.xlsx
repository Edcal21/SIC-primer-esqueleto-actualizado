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init 2025\"/>
    </mc:Choice>
  </mc:AlternateContent>
  <xr:revisionPtr revIDLastSave="0" documentId="13_ncr:1_{6A96B9DC-E2D4-4190-855D-081B4F33493D}" xr6:coauthVersionLast="47" xr6:coauthVersionMax="47" xr10:uidLastSave="{00000000-0000-0000-0000-000000000000}"/>
  <bookViews>
    <workbookView xWindow="-120" yWindow="-120" windowWidth="29040" windowHeight="15720" xr2:uid="{3F114F70-9274-4A11-A61A-6CE607AD07BD}"/>
  </bookViews>
  <sheets>
    <sheet name="Balance Comparativo 2025" sheetId="1" r:id="rId1"/>
    <sheet name="Estado de Resultado Comparativo" sheetId="2" r:id="rId2"/>
    <sheet name="BALANZA DE COMPROBACION 2025" sheetId="3" r:id="rId3"/>
    <sheet name="Hoja3" sheetId="4" r:id="rId4"/>
    <sheet name="Hoja4" sheetId="5" r:id="rId5"/>
  </sheets>
  <definedNames>
    <definedName name="_xlnm.Print_Area" localSheetId="2">'BALANZA DE COMPROBACION 2025'!$A$1:$H$346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G26" i="1" s="1"/>
  <c r="F340" i="3"/>
  <c r="G136" i="1" l="1"/>
  <c r="G128" i="1"/>
  <c r="G67" i="1"/>
  <c r="G68" i="1"/>
  <c r="G69" i="1"/>
  <c r="G70" i="1"/>
  <c r="G71" i="1"/>
  <c r="G66" i="1"/>
  <c r="G79" i="1"/>
  <c r="G81" i="1"/>
  <c r="G83" i="1"/>
  <c r="G85" i="1"/>
  <c r="G77" i="1"/>
  <c r="G105" i="1"/>
  <c r="G93" i="1"/>
  <c r="G95" i="1"/>
  <c r="G97" i="1"/>
  <c r="G99" i="1"/>
  <c r="G101" i="1"/>
  <c r="G103" i="1"/>
  <c r="G91" i="1"/>
  <c r="G87" i="1"/>
  <c r="G73" i="1"/>
  <c r="G24" i="1"/>
  <c r="F87" i="1"/>
  <c r="G53" i="1"/>
  <c r="F55" i="1"/>
  <c r="G45" i="1"/>
  <c r="D105" i="1"/>
  <c r="F105" i="1"/>
  <c r="D131" i="1" l="1"/>
  <c r="G14" i="1"/>
  <c r="F26" i="1"/>
  <c r="D73" i="1"/>
  <c r="F70" i="2" l="1"/>
  <c r="F72" i="2" s="1"/>
  <c r="D70" i="2"/>
  <c r="D72" i="2" s="1"/>
  <c r="H68" i="2"/>
  <c r="H66" i="2"/>
  <c r="H64" i="2"/>
  <c r="H62" i="2"/>
  <c r="H60" i="2"/>
  <c r="H58" i="2"/>
  <c r="F51" i="2"/>
  <c r="F53" i="2" s="1"/>
  <c r="D51" i="2"/>
  <c r="H49" i="2"/>
  <c r="H47" i="2"/>
  <c r="H45" i="2"/>
  <c r="H43" i="2"/>
  <c r="H39" i="2"/>
  <c r="H37" i="2"/>
  <c r="H35" i="2"/>
  <c r="H33" i="2"/>
  <c r="H31" i="2"/>
  <c r="H29" i="2"/>
  <c r="F19" i="2"/>
  <c r="F21" i="2" s="1"/>
  <c r="F23" i="2" s="1"/>
  <c r="D19" i="2"/>
  <c r="H17" i="2"/>
  <c r="H15" i="2"/>
  <c r="H13" i="2"/>
  <c r="D53" i="2" l="1"/>
  <c r="D21" i="2"/>
  <c r="H21" i="2" s="1"/>
  <c r="F74" i="2"/>
  <c r="F76" i="2" s="1"/>
  <c r="H72" i="2"/>
  <c r="H70" i="2"/>
  <c r="D74" i="2"/>
  <c r="H51" i="2"/>
  <c r="H19" i="2"/>
  <c r="H53" i="2" l="1"/>
  <c r="D23" i="2"/>
  <c r="H74" i="2"/>
  <c r="D76" i="2" l="1"/>
  <c r="H76" i="2" s="1"/>
  <c r="H23" i="2"/>
  <c r="F131" i="1"/>
  <c r="F133" i="1" s="1"/>
  <c r="F139" i="1" s="1"/>
  <c r="D133" i="1"/>
  <c r="D119" i="1"/>
  <c r="G119" i="1" s="1"/>
  <c r="G126" i="1"/>
  <c r="F73" i="1"/>
  <c r="G35" i="1"/>
  <c r="G115" i="1"/>
  <c r="D87" i="1"/>
  <c r="F47" i="1"/>
  <c r="F49" i="1" s="1"/>
  <c r="F58" i="1" s="1"/>
  <c r="D47" i="1"/>
  <c r="G43" i="1"/>
  <c r="G39" i="1"/>
  <c r="G37" i="1"/>
  <c r="F20" i="1"/>
  <c r="F29" i="1" s="1"/>
  <c r="D20" i="1"/>
  <c r="D29" i="1" s="1"/>
  <c r="G18" i="1"/>
  <c r="G16" i="1"/>
  <c r="G20" i="1" l="1"/>
  <c r="D49" i="1"/>
  <c r="D139" i="1"/>
  <c r="D107" i="1"/>
  <c r="D109" i="1" s="1"/>
  <c r="G47" i="1"/>
  <c r="G133" i="1"/>
  <c r="F107" i="1"/>
  <c r="G131" i="1"/>
  <c r="D58" i="1" l="1"/>
  <c r="G58" i="1" s="1"/>
  <c r="G49" i="1"/>
  <c r="D141" i="1"/>
  <c r="G29" i="1"/>
  <c r="G107" i="1"/>
  <c r="F109" i="1"/>
  <c r="G139" i="1"/>
  <c r="G109" i="1" l="1"/>
  <c r="F141" i="1"/>
  <c r="G141" i="1" s="1"/>
</calcChain>
</file>

<file path=xl/sharedStrings.xml><?xml version="1.0" encoding="utf-8"?>
<sst xmlns="http://schemas.openxmlformats.org/spreadsheetml/2006/main" count="448" uniqueCount="267">
  <si>
    <r>
      <t xml:space="preserve">Iglesia Universal del Reino de Dios
</t>
    </r>
    <r>
      <rPr>
        <sz val="12"/>
        <color indexed="8"/>
        <rFont val="Tahoma"/>
        <family val="2"/>
      </rPr>
      <t>Reg Gobernacion #90. Pag 348-357 * Tomo II, Libro Segundo
Gaceta # 135, Decreto AN # 1321 * Ruc J0110000122432</t>
    </r>
  </si>
  <si>
    <t xml:space="preserve">Estado de Situacion Financiera Comparativo </t>
  </si>
  <si>
    <t>Variacion</t>
  </si>
  <si>
    <t>Descripción</t>
  </si>
  <si>
    <t>ACTIVOS</t>
  </si>
  <si>
    <t>ACTIVOS CORRIENTES</t>
  </si>
  <si>
    <t>EFECTIVO</t>
  </si>
  <si>
    <t>CAJA GENERAL</t>
  </si>
  <si>
    <t>EFECTIVO EN BANCOS/CORDOBAS</t>
  </si>
  <si>
    <t>EFECTIVO EN BANCOS/DOLARES</t>
  </si>
  <si>
    <t>TOTAL EFECTIVO</t>
  </si>
  <si>
    <t>TOTAL ACTIVOS CORRIENTES</t>
  </si>
  <si>
    <t>ACTIVOS NO CORRIENTES</t>
  </si>
  <si>
    <t>PROPIEDAD PLANTA Y EQUIPO</t>
  </si>
  <si>
    <t>EDIFICIOS</t>
  </si>
  <si>
    <t>VEHICULOS</t>
  </si>
  <si>
    <t>MOBILIARIO Y EQUIPOS</t>
  </si>
  <si>
    <t>TERRENOS</t>
  </si>
  <si>
    <t>DEPRECIACION DE EDIFICIOS</t>
  </si>
  <si>
    <t>DEPRECIACION DE VEHICULOS</t>
  </si>
  <si>
    <t>TOTAL PROPIEDAD PLANTA Y EQUIPO</t>
  </si>
  <si>
    <t>TOTAL ACTIVOS NO CORRIENTES</t>
  </si>
  <si>
    <t>TOTAL ACTIVOS</t>
  </si>
  <si>
    <t>PASIVOS Y PATRIMONIO</t>
  </si>
  <si>
    <t>PASIVOS CORRIENTES</t>
  </si>
  <si>
    <t>ACREEDORES COMERCIALES</t>
  </si>
  <si>
    <t>La Curacao</t>
  </si>
  <si>
    <t>TOTAL ACREEDORES COMERCIALES</t>
  </si>
  <si>
    <t>IMPUESTOS CORRIENTES POR PAGAR</t>
  </si>
  <si>
    <t>La Fuente por Alquileres</t>
  </si>
  <si>
    <t>La fuente por Servicios profesionales</t>
  </si>
  <si>
    <t>La Fuente por Salario</t>
  </si>
  <si>
    <t>La Fuente por Otros</t>
  </si>
  <si>
    <t>TOTAL IMPUESTOS CORRIENTES POR PAGAR</t>
  </si>
  <si>
    <t>OBLIGACIONES A C/P POR BENEF. A LOS EMPLEADOS</t>
  </si>
  <si>
    <t>INSS Laboral</t>
  </si>
  <si>
    <t>INSS Patronal</t>
  </si>
  <si>
    <t>Inatec</t>
  </si>
  <si>
    <t>Provisiones por Aguinaldos</t>
  </si>
  <si>
    <t>Provisiones por Vacaciones</t>
  </si>
  <si>
    <t>TOTAL OBLIGACIONES A C/P POR BENEF. A LOS EMPLEADOS</t>
  </si>
  <si>
    <t>TOTAL PASIVOS CORRIENTES</t>
  </si>
  <si>
    <t>TOTAL PASIVOS Y PATRIMONIO</t>
  </si>
  <si>
    <t>PATRIMONIO</t>
  </si>
  <si>
    <t>PATRIMONIO IGLESIA UNIVERSAL DEL REINO DE DIOS</t>
  </si>
  <si>
    <t>Patrimonio Iglesia Universal del Reino de Dios</t>
  </si>
  <si>
    <t>Patrimonio Donado</t>
  </si>
  <si>
    <t>TOTAL PATRIMONIO IGLESIA UNIVERSAL DEL REINO DE DIOS</t>
  </si>
  <si>
    <t>INCREMENTO O DECREMENTO</t>
  </si>
  <si>
    <t>Utilidad o Perdida Acumuladas</t>
  </si>
  <si>
    <t>TOTAL INCREMENTO O DECREMENTO</t>
  </si>
  <si>
    <t>Utilidad o perdida del Ejercicio</t>
  </si>
  <si>
    <t>TOTAL PATRIMONIO</t>
  </si>
  <si>
    <t>TOTAL PASIVOS Y PATRIMONIO + PATRIMONIO</t>
  </si>
  <si>
    <t>Elaborado por:</t>
  </si>
  <si>
    <t>Revisado por:</t>
  </si>
  <si>
    <t>Autorizado por:</t>
  </si>
  <si>
    <t>Lic Edelma Detrinidad</t>
  </si>
  <si>
    <t>Lic Danilo Aguirre</t>
  </si>
  <si>
    <t>Contador</t>
  </si>
  <si>
    <t>Contador General</t>
  </si>
  <si>
    <t>Representante Legal</t>
  </si>
  <si>
    <t xml:space="preserve">Reynaldo Antonio Villanueva </t>
  </si>
  <si>
    <t>Deduccion a misioneros para gastos medicos</t>
  </si>
  <si>
    <t>Incremento o Decremento por Revaluacion de Activo</t>
  </si>
  <si>
    <t xml:space="preserve">Estado de Resultado Comparativo </t>
  </si>
  <si>
    <t>INGRESOS</t>
  </si>
  <si>
    <t>INGRESOS / DIEZMOSY OFRENDAS</t>
  </si>
  <si>
    <t>INGRESOS / DIEZMOS YOFRENDAS</t>
  </si>
  <si>
    <t>DIEZMOS / OFRENDAS / DONACIONES</t>
  </si>
  <si>
    <t>DONACIONES</t>
  </si>
  <si>
    <t>OTROS INGRESOS</t>
  </si>
  <si>
    <t>TOTAL INGRESOS / DIEZMOS YOFRENDAS</t>
  </si>
  <si>
    <t>TOTAL INGRESOS / DIEZMOSY OFRENDAS</t>
  </si>
  <si>
    <t>TOTAL INGRESOS</t>
  </si>
  <si>
    <t>GASTOS OPERATIVOS</t>
  </si>
  <si>
    <t>GASTOS ADMINISTRATIVOS</t>
  </si>
  <si>
    <t>GASTOS ADMINISTRATIVOS / ALQUILERES</t>
  </si>
  <si>
    <t>PLANILLA</t>
  </si>
  <si>
    <t>AYUDAS ECONOMICAS</t>
  </si>
  <si>
    <t>SERVICIOS PROFESIONALES</t>
  </si>
  <si>
    <t>GASTOS DE REPRESENTACION</t>
  </si>
  <si>
    <t>GASTOS DE  REPARACION  Y MANTO DE VEHICULOS</t>
  </si>
  <si>
    <t>GASTOS DE  REPARACION  Y MANTO DE EDIFICIOS</t>
  </si>
  <si>
    <t>GASTOS DE DEPRECIACION</t>
  </si>
  <si>
    <t>GASTOS DE PROVISION</t>
  </si>
  <si>
    <t>GASTOS VARIOS</t>
  </si>
  <si>
    <t>TOTAL GASTOS ADMINISTRATIVOS</t>
  </si>
  <si>
    <t>GASTOS DE SERVICIOS</t>
  </si>
  <si>
    <t>GASTOS DE SERVICIOS AGUA POTABLE</t>
  </si>
  <si>
    <t>GASTOS DE SERVICIO / TELEFONIA</t>
  </si>
  <si>
    <t>GASTOS DE SERVICIOS / ENERGIA ELECTRICA</t>
  </si>
  <si>
    <t>GASTOS DE SERVICIOS / COMUNICACION</t>
  </si>
  <si>
    <t>OTROS GASTOS</t>
  </si>
  <si>
    <t>GASTOS FINANCIEROS</t>
  </si>
  <si>
    <t>TOTAL GASTOS DE SERVICIOS</t>
  </si>
  <si>
    <t>TOTAL GASTOS OPERATIVOS</t>
  </si>
  <si>
    <t>Utilidad o pérdida Acumulada</t>
  </si>
  <si>
    <t>Reynaldo Antonio Villanueva</t>
  </si>
  <si>
    <t>Iglesia Universal del Reino de Dios</t>
  </si>
  <si>
    <t>Reg Gobernacion # 90. Pag 348-357 * Tomo II, Libro Segundo</t>
  </si>
  <si>
    <t>Gaceta # 135, Decreto AN # 1321 * Ruc J0110000122432</t>
  </si>
  <si>
    <t xml:space="preserve">Debe </t>
  </si>
  <si>
    <t>Haber</t>
  </si>
  <si>
    <t>Debe</t>
  </si>
  <si>
    <t>Caja Especial</t>
  </si>
  <si>
    <t>Banco LA FISE 106005626</t>
  </si>
  <si>
    <t>Banco LA FISE 106203423</t>
  </si>
  <si>
    <t>Templo Mayor</t>
  </si>
  <si>
    <t>Sede Dptal - Chinandega</t>
  </si>
  <si>
    <t>Sede Nacional - Mga - Edificio Administrativo</t>
  </si>
  <si>
    <t>Automovil Volkswagen 2007</t>
  </si>
  <si>
    <t>Automovil Toyota Corrolla 2008 3ZZE601544</t>
  </si>
  <si>
    <t>Automovil Toyota Yaris 2008 2NZ5051113</t>
  </si>
  <si>
    <t>Automovil Toyota Yaris 2008 2NZ5081921</t>
  </si>
  <si>
    <t>Automovil  Toyota Yaris 2008 2NZ5076112</t>
  </si>
  <si>
    <t>Automovil Toyota Corrolla 2010</t>
  </si>
  <si>
    <t>Automovil  Volkswagen Jetta 2011 CP9264685</t>
  </si>
  <si>
    <t>Automovil Toyota Corrolla 2011 1ZR0855266</t>
  </si>
  <si>
    <t>Automovil Hyundai Sedan 2013 G4FACU455200</t>
  </si>
  <si>
    <t>Camioneta Ford Explorer 4X4 2014 1FM5K8D84EGA82596</t>
  </si>
  <si>
    <t>Automovil Sedan Kia spectra KNAFB22622A188145</t>
  </si>
  <si>
    <t>Toyota Corona Sedan 4A0214016 1996</t>
  </si>
  <si>
    <t>Zotye Z100 plateado 2018 TNN3G10KF0022876</t>
  </si>
  <si>
    <t>Zotye Z100 plateado 2018 TNN3G10KF0022883</t>
  </si>
  <si>
    <t>Vehiculo Furgoneta, Suzuki G16AID170757, 2010</t>
  </si>
  <si>
    <t>Automovil , KIA Spectra sedan negro  GR8422  2003</t>
  </si>
  <si>
    <t>Automovil Suzuki Sedan Blanco K12MN7055498 2014</t>
  </si>
  <si>
    <t>Automovil , Toyota Corolla Plateado, 2ZRL539321</t>
  </si>
  <si>
    <t>Vehiculo Toyota Corolla, blanco  4AH966283</t>
  </si>
  <si>
    <t>Mobiliario y Equipo</t>
  </si>
  <si>
    <t>Templo Mayor Sede Nacional - Mga - Iglesia</t>
  </si>
  <si>
    <t>Sede Nacional - Mga - Edificio Admon</t>
  </si>
  <si>
    <t>Automovil Corrolla Toyota 2010 JTDBZ42E909072597</t>
  </si>
  <si>
    <t>Automovil Volkswagen Jetta  2011 CPB264685</t>
  </si>
  <si>
    <t>Automovil Toyota Corrolla 2011 1ZRO855266</t>
  </si>
  <si>
    <t>Camioneta Ford Explorere 4x4 XLT 3.5 2014</t>
  </si>
  <si>
    <t>Automovil KIA Spectra 2002</t>
  </si>
  <si>
    <t>Zoyte Z100 plateado 2018 TNN3G10KF0022876</t>
  </si>
  <si>
    <t>Zoyte Z100 plateado 2018 TNN3G10KF0022883</t>
  </si>
  <si>
    <t>Furgoneta Suzuki AP416PVM96141 2010</t>
  </si>
  <si>
    <t>Automovil KIA Spectra Sedan Negro GR8422 2003</t>
  </si>
  <si>
    <t>Automovil Toyota Corolla Plateado, 2ZRL539321</t>
  </si>
  <si>
    <t>Diezmos y Ofrendas de la congregacion</t>
  </si>
  <si>
    <t>Diferencias Cambiarias</t>
  </si>
  <si>
    <t>Otros Ingresos  Varios</t>
  </si>
  <si>
    <t>Iglesia Bello Horizonte</t>
  </si>
  <si>
    <t>Iglesia Linda Vista</t>
  </si>
  <si>
    <t>Iglesia Nejapa</t>
  </si>
  <si>
    <t>Iglesia La Fuente</t>
  </si>
  <si>
    <t>Iglesia Jinotepe</t>
  </si>
  <si>
    <t>Iglesia Esteli</t>
  </si>
  <si>
    <t>Iglesia Bluefields</t>
  </si>
  <si>
    <t>Iglesia Tipitapa</t>
  </si>
  <si>
    <t>Iglesia Granada</t>
  </si>
  <si>
    <t>Iglesia Masaya</t>
  </si>
  <si>
    <t>Iglesia Leon</t>
  </si>
  <si>
    <t>Iglesia Jinotega</t>
  </si>
  <si>
    <t>Iglesia  Rivas</t>
  </si>
  <si>
    <t>Iglesia  Ciudad Sandino</t>
  </si>
  <si>
    <t>Iglesia Juigalpa</t>
  </si>
  <si>
    <t>Iglesia Matagalpa</t>
  </si>
  <si>
    <t>Iglesia  Nagarote</t>
  </si>
  <si>
    <t>Casa Leon</t>
  </si>
  <si>
    <t>Casa Chinandega</t>
  </si>
  <si>
    <t>Casa Bolonia II</t>
  </si>
  <si>
    <t>Casa Jinotepe</t>
  </si>
  <si>
    <t>Iglesia Chichigalpa</t>
  </si>
  <si>
    <t>Iglesia San Rafael</t>
  </si>
  <si>
    <t>Casa Bolonia I</t>
  </si>
  <si>
    <t>Casa Jinotega</t>
  </si>
  <si>
    <t>Iglesia Ocotal</t>
  </si>
  <si>
    <t>Iglesia Las Americas</t>
  </si>
  <si>
    <t>Iglesia Boaco</t>
  </si>
  <si>
    <t>Iglesia Loma Linda</t>
  </si>
  <si>
    <t>Casa Bluefields</t>
  </si>
  <si>
    <t>Iglesia Nueva Guinea</t>
  </si>
  <si>
    <t>Casa Principal</t>
  </si>
  <si>
    <t>Casa Esteli</t>
  </si>
  <si>
    <t>Casa Tipitapa</t>
  </si>
  <si>
    <t>Casa El Carmen</t>
  </si>
  <si>
    <t>Casa Juigalpa</t>
  </si>
  <si>
    <t>Iglesia Diriamba</t>
  </si>
  <si>
    <t>Casa Masaya</t>
  </si>
  <si>
    <t>Iglesia Jalapa</t>
  </si>
  <si>
    <t xml:space="preserve">Casa Granada </t>
  </si>
  <si>
    <t>Sueldos y Salarios</t>
  </si>
  <si>
    <t>Horas Extras</t>
  </si>
  <si>
    <t>Iglesia Ciudad Sandino</t>
  </si>
  <si>
    <t>Iglesia Nagarote</t>
  </si>
  <si>
    <t>Iglesia Chinandega</t>
  </si>
  <si>
    <t>Iglesia San Rafael del Sur</t>
  </si>
  <si>
    <t>Servicios Asesoria Legal</t>
  </si>
  <si>
    <t>Servicios de Asesoria Contable</t>
  </si>
  <si>
    <t>Provision para Aguinaldo</t>
  </si>
  <si>
    <t>Provision para Vacaciones</t>
  </si>
  <si>
    <t>Iglesia Rivas</t>
  </si>
  <si>
    <t>Iglesia  Nueva Guinea</t>
  </si>
  <si>
    <t>Iglesia Japala</t>
  </si>
  <si>
    <t>IBW</t>
  </si>
  <si>
    <t>Enitel</t>
  </si>
  <si>
    <t>Industrias Serigraficas Gomez Vega, CIA LTDA.</t>
  </si>
  <si>
    <t>Canal 6 Negocios Publicitarios Internacionales,S.A</t>
  </si>
  <si>
    <t>Canal 9 Digital Media de Nicaragua, S.A</t>
  </si>
  <si>
    <t>Celeste, S.A</t>
  </si>
  <si>
    <t>Impuestos Pagados</t>
  </si>
  <si>
    <t>Seguros Pagados</t>
  </si>
  <si>
    <t>I.R La Fuente</t>
  </si>
  <si>
    <t>Gastos Inss Patronal</t>
  </si>
  <si>
    <t>Gasto Inatec</t>
  </si>
  <si>
    <t>Prestaciones por Antiguedad</t>
  </si>
  <si>
    <t>Servicio de Seguridad</t>
  </si>
  <si>
    <t xml:space="preserve">Saldos </t>
  </si>
  <si>
    <t xml:space="preserve">Elaborado Por </t>
  </si>
  <si>
    <t xml:space="preserve">Revisado Por </t>
  </si>
  <si>
    <t xml:space="preserve">Autorizado Por </t>
  </si>
  <si>
    <t>Lic. Edelma Detrinidad</t>
  </si>
  <si>
    <t>Lic. Danilo Aguirre</t>
  </si>
  <si>
    <t>Comision Bancaria</t>
  </si>
  <si>
    <t>Terreno Sede Nacional</t>
  </si>
  <si>
    <t>Terreno sede Departamental Chinandega</t>
  </si>
  <si>
    <t>Deduccion a Misioneros para gastos medicos</t>
  </si>
  <si>
    <t>Utilidades Acumuladas</t>
  </si>
  <si>
    <t>Casa Ciudad Sandino</t>
  </si>
  <si>
    <t>Iglesia Puerto Cabeza</t>
  </si>
  <si>
    <t>Casa El Carmen 2</t>
  </si>
  <si>
    <t>Servicios Generales</t>
  </si>
  <si>
    <t>Iglesia Puerto Cabezas</t>
  </si>
  <si>
    <t>DEUDORES COMERCIALES Y OTRAS CUENTAS POR COBRAR</t>
  </si>
  <si>
    <t>CUENTAS POR COBRAR/ MISELANIAS</t>
  </si>
  <si>
    <t>TOTAL DEUDORES COMERCIALES Y OTRAS CUENTAS POR COBRAR</t>
  </si>
  <si>
    <t>FID (SINSA)</t>
  </si>
  <si>
    <t>Auto Excel de Nicaragua, S.A</t>
  </si>
  <si>
    <t>Provisiones por Indenizacion</t>
  </si>
  <si>
    <t>GASTOS DE COMBUSTIBLE Y ACCESORIOS</t>
  </si>
  <si>
    <t>CUENTAS POR COBRAR/ MICELANEOS</t>
  </si>
  <si>
    <t>Cecilia Bohorgues Uriarte</t>
  </si>
  <si>
    <t>Automovil Hyundai Grand i10 Sedan 2025 Plateado</t>
  </si>
  <si>
    <t>Automovil Hyundai Grand i10 Sedan 2025 Blanco</t>
  </si>
  <si>
    <t>Casa Bolonia III</t>
  </si>
  <si>
    <t>Casa Bolonia IV</t>
  </si>
  <si>
    <t>Nucleo de Oracion Rivas</t>
  </si>
  <si>
    <t xml:space="preserve">Iglesia Sede Nacional - Mga - </t>
  </si>
  <si>
    <t>Servicios de Mantenimiento</t>
  </si>
  <si>
    <t>Entretenimiento Digital ( La Nueva radio Ya)</t>
  </si>
  <si>
    <t xml:space="preserve">GASTOS FINANCIEROS </t>
  </si>
  <si>
    <t>Gastos Varios Impresiones de CK , POS y envios veloz</t>
  </si>
  <si>
    <t>Gastos Varios (Residencias y tramites de pastores )</t>
  </si>
  <si>
    <t>Comision Bancacria</t>
  </si>
  <si>
    <t>DIEZMOS / OFRENDAS</t>
  </si>
  <si>
    <t>DEPRECIACION DE MOB Y EQUIPO</t>
  </si>
  <si>
    <t>ACTIVOS POR IMPUESTOS DIFERIDOS</t>
  </si>
  <si>
    <t>PAGO MINIMO DEFINITIVO</t>
  </si>
  <si>
    <t>TOTAL ACTIVOS POR IMPUESTOS DIFERIDOS</t>
  </si>
  <si>
    <t>IR Anual</t>
  </si>
  <si>
    <t>Saldos Acumulados del periodo  2024</t>
  </si>
  <si>
    <t>Movimientos del Periodo 2025</t>
  </si>
  <si>
    <t>Balanza de Comprobacion al 31 de Diciembre 2025</t>
  </si>
  <si>
    <t>Saldos Acumulados al Periodo  2025</t>
  </si>
  <si>
    <t>Depreciacion de Vehiculos</t>
  </si>
  <si>
    <t>Depreciacion de Mob y equipo</t>
  </si>
  <si>
    <t>Iglesia Sebaco</t>
  </si>
  <si>
    <t>Automovil Toyota Yaris tipo sedan 2026, MR2BE8BB3</t>
  </si>
  <si>
    <t>Automovil Hyundai , Grand 1-10 ,2025 plateado</t>
  </si>
  <si>
    <t>Automovil Hyundai , Grand 1-10 ,2025 Blanco</t>
  </si>
  <si>
    <t>Depreciacion Mob y equipo</t>
  </si>
  <si>
    <t>Pago Minimo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</si>
</sst>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C$&quot;\ * #,##0.00_);_(&quot;C$&quot;\ * \(#,##0.00\);_(&quot;C$&quot;\ 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7"/>
      <color indexed="8"/>
      <name val="Old English Text MT"/>
      <family val="4"/>
    </font>
    <font>
      <sz val="12"/>
      <color indexed="8"/>
      <name val="Tahoma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0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indexed="8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 applyAlignment="1">
      <alignment vertical="top" wrapText="1" readingOrder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vertical="top"/>
    </xf>
    <xf numFmtId="164" fontId="7" fillId="0" borderId="0" xfId="0" applyNumberFormat="1" applyFont="1" applyAlignment="1">
      <alignment vertical="top"/>
    </xf>
    <xf numFmtId="0" fontId="8" fillId="0" borderId="2" xfId="0" applyFont="1" applyBorder="1" applyAlignment="1">
      <alignment horizontal="left" vertical="top" wrapText="1"/>
    </xf>
    <xf numFmtId="164" fontId="7" fillId="0" borderId="0" xfId="0" applyNumberFormat="1" applyFont="1"/>
    <xf numFmtId="0" fontId="7" fillId="0" borderId="0" xfId="0" applyFont="1" applyAlignment="1">
      <alignment vertical="top"/>
    </xf>
    <xf numFmtId="0" fontId="8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4" fontId="9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164" fontId="12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164" fontId="7" fillId="0" borderId="3" xfId="0" applyNumberFormat="1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164" fontId="15" fillId="0" borderId="0" xfId="0" applyNumberFormat="1" applyFont="1" applyAlignment="1">
      <alignment vertical="top"/>
    </xf>
    <xf numFmtId="0" fontId="8" fillId="0" borderId="0" xfId="0" applyFont="1" applyAlignment="1">
      <alignment vertical="top" wrapText="1" readingOrder="1"/>
    </xf>
    <xf numFmtId="0" fontId="14" fillId="0" borderId="0" xfId="0" applyFont="1" applyAlignment="1">
      <alignment vertical="top" wrapText="1" readingOrder="1"/>
    </xf>
    <xf numFmtId="164" fontId="9" fillId="0" borderId="0" xfId="0" applyNumberFormat="1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164" fontId="14" fillId="0" borderId="0" xfId="0" applyNumberFormat="1" applyFont="1" applyAlignment="1">
      <alignment vertical="top" wrapText="1" readingOrder="1"/>
    </xf>
    <xf numFmtId="164" fontId="0" fillId="0" borderId="3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14" fillId="0" borderId="0" xfId="0" applyNumberFormat="1" applyFont="1" applyAlignment="1">
      <alignment vertical="top" wrapText="1"/>
    </xf>
    <xf numFmtId="0" fontId="1" fillId="0" borderId="0" xfId="0" applyFont="1" applyAlignment="1">
      <alignment vertical="top"/>
    </xf>
    <xf numFmtId="164" fontId="12" fillId="0" borderId="3" xfId="0" applyNumberFormat="1" applyFont="1" applyBorder="1" applyAlignment="1">
      <alignment vertical="top" wrapText="1"/>
    </xf>
    <xf numFmtId="164" fontId="15" fillId="0" borderId="3" xfId="0" applyNumberFormat="1" applyFont="1" applyBorder="1" applyAlignment="1">
      <alignment vertical="top"/>
    </xf>
    <xf numFmtId="0" fontId="0" fillId="0" borderId="4" xfId="0" applyBorder="1" applyAlignment="1">
      <alignment vertical="top"/>
    </xf>
    <xf numFmtId="164" fontId="7" fillId="0" borderId="4" xfId="0" applyNumberFormat="1" applyFont="1" applyBorder="1" applyAlignment="1">
      <alignment vertical="top"/>
    </xf>
    <xf numFmtId="164" fontId="12" fillId="0" borderId="4" xfId="0" applyNumberFormat="1" applyFont="1" applyBorder="1" applyAlignment="1">
      <alignment vertical="top" wrapText="1"/>
    </xf>
    <xf numFmtId="0" fontId="10" fillId="0" borderId="0" xfId="0" applyFont="1" applyAlignment="1">
      <alignment horizontal="left" vertical="top" wrapText="1"/>
    </xf>
    <xf numFmtId="164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164" fontId="12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0" fillId="0" borderId="3" xfId="0" applyBorder="1" applyAlignment="1">
      <alignment vertical="top"/>
    </xf>
    <xf numFmtId="0" fontId="8" fillId="0" borderId="0" xfId="0" applyFont="1" applyAlignment="1">
      <alignment vertical="top"/>
    </xf>
    <xf numFmtId="0" fontId="14" fillId="0" borderId="0" xfId="0" applyFont="1" applyAlignment="1">
      <alignment vertical="top"/>
    </xf>
    <xf numFmtId="164" fontId="9" fillId="0" borderId="0" xfId="0" applyNumberFormat="1" applyFont="1" applyAlignment="1">
      <alignment vertical="top"/>
    </xf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8" fillId="0" borderId="5" xfId="0" applyFont="1" applyBorder="1" applyAlignment="1">
      <alignment vertical="top" wrapText="1"/>
    </xf>
    <xf numFmtId="164" fontId="9" fillId="0" borderId="0" xfId="0" applyNumberFormat="1" applyFont="1" applyAlignment="1">
      <alignment horizontal="center" vertical="top" wrapText="1"/>
    </xf>
    <xf numFmtId="0" fontId="0" fillId="0" borderId="3" xfId="0" applyBorder="1"/>
    <xf numFmtId="164" fontId="9" fillId="0" borderId="3" xfId="0" applyNumberFormat="1" applyFont="1" applyBorder="1" applyAlignment="1">
      <alignment vertical="top" wrapText="1"/>
    </xf>
    <xf numFmtId="164" fontId="9" fillId="0" borderId="4" xfId="0" applyNumberFormat="1" applyFont="1" applyBorder="1" applyAlignment="1">
      <alignment vertical="top" wrapText="1"/>
    </xf>
    <xf numFmtId="0" fontId="19" fillId="0" borderId="0" xfId="0" applyFont="1" applyAlignment="1">
      <alignment horizontal="center"/>
    </xf>
    <xf numFmtId="0" fontId="10" fillId="0" borderId="0" xfId="0" applyFont="1" applyAlignment="1">
      <alignment vertical="top" wrapText="1" readingOrder="1"/>
    </xf>
    <xf numFmtId="0" fontId="20" fillId="0" borderId="0" xfId="0" applyFont="1" applyAlignment="1">
      <alignment vertical="top" wrapText="1"/>
    </xf>
    <xf numFmtId="0" fontId="22" fillId="0" borderId="0" xfId="0" applyFont="1"/>
    <xf numFmtId="164" fontId="0" fillId="0" borderId="0" xfId="0" applyNumberFormat="1"/>
    <xf numFmtId="0" fontId="19" fillId="0" borderId="0" xfId="0" applyFont="1" applyAlignment="1">
      <alignment vertical="top" wrapText="1"/>
    </xf>
    <xf numFmtId="164" fontId="19" fillId="0" borderId="0" xfId="0" applyNumberFormat="1" applyFont="1"/>
    <xf numFmtId="0" fontId="17" fillId="0" borderId="0" xfId="0" applyFont="1"/>
    <xf numFmtId="43" fontId="0" fillId="0" borderId="0" xfId="0" applyNumberFormat="1"/>
    <xf numFmtId="49" fontId="23" fillId="0" borderId="0" xfId="0" applyNumberFormat="1" applyFont="1" applyAlignment="1">
      <alignment vertical="top" wrapText="1" shrinkToFit="1" readingOrder="1"/>
    </xf>
    <xf numFmtId="4" fontId="23" fillId="0" borderId="0" xfId="0" applyNumberFormat="1" applyFont="1" applyAlignment="1">
      <alignment vertical="top" wrapText="1" shrinkToFit="1" readingOrder="1"/>
    </xf>
    <xf numFmtId="49" fontId="25" fillId="0" borderId="0" xfId="0" applyNumberFormat="1" applyFont="1" applyAlignment="1">
      <alignment vertical="top" wrapText="1" shrinkToFit="1" readingOrder="1"/>
    </xf>
    <xf numFmtId="0" fontId="21" fillId="0" borderId="4" xfId="0" applyFont="1" applyBorder="1" applyAlignment="1">
      <alignment vertical="top"/>
    </xf>
    <xf numFmtId="164" fontId="9" fillId="0" borderId="3" xfId="0" applyNumberFormat="1" applyFont="1" applyBorder="1" applyAlignment="1">
      <alignment vertical="top" wrapText="1" readingOrder="1"/>
    </xf>
    <xf numFmtId="2" fontId="12" fillId="0" borderId="0" xfId="0" applyNumberFormat="1" applyFont="1" applyAlignment="1">
      <alignment vertical="top" wrapText="1"/>
    </xf>
    <xf numFmtId="2" fontId="9" fillId="0" borderId="0" xfId="0" applyNumberFormat="1" applyFont="1" applyAlignment="1">
      <alignment vertical="top" wrapText="1"/>
    </xf>
    <xf numFmtId="43" fontId="7" fillId="0" borderId="0" xfId="0" applyNumberFormat="1" applyFont="1"/>
    <xf numFmtId="4" fontId="24" fillId="0" borderId="0" xfId="0" applyNumberFormat="1" applyFont="1" applyAlignment="1">
      <alignment horizontal="right" vertical="top" wrapText="1" shrinkToFit="1" readingOrder="1"/>
    </xf>
    <xf numFmtId="4" fontId="23" fillId="0" borderId="0" xfId="0" applyNumberFormat="1" applyFont="1" applyAlignment="1">
      <alignment horizontal="right" vertical="top" wrapText="1" shrinkToFit="1" readingOrder="1"/>
    </xf>
    <xf numFmtId="49" fontId="24" fillId="0" borderId="0" xfId="0" applyNumberFormat="1" applyFont="1" applyAlignment="1">
      <alignment vertical="top" wrapText="1" shrinkToFit="1" readingOrder="1"/>
    </xf>
    <xf numFmtId="49" fontId="26" fillId="0" borderId="0" xfId="0" applyNumberFormat="1" applyFont="1" applyAlignment="1">
      <alignment vertical="top" wrapText="1" shrinkToFit="1" readingOrder="1"/>
    </xf>
    <xf numFmtId="4" fontId="27" fillId="0" borderId="0" xfId="0" applyNumberFormat="1" applyFont="1"/>
    <xf numFmtId="164" fontId="28" fillId="0" borderId="4" xfId="0" applyNumberFormat="1" applyFont="1" applyBorder="1" applyAlignment="1">
      <alignment horizontal="right" vertical="top" wrapText="1"/>
    </xf>
    <xf numFmtId="0" fontId="28" fillId="0" borderId="4" xfId="0" applyFont="1" applyBorder="1"/>
    <xf numFmtId="164" fontId="20" fillId="0" borderId="0" xfId="0" applyNumberFormat="1" applyFont="1" applyAlignment="1">
      <alignment horizontal="right" vertical="top"/>
    </xf>
    <xf numFmtId="164" fontId="8" fillId="0" borderId="0" xfId="0" applyNumberFormat="1" applyFont="1" applyAlignment="1">
      <alignment horizontal="right" vertical="top" wrapText="1"/>
    </xf>
    <xf numFmtId="4" fontId="26" fillId="0" borderId="0" xfId="0" applyNumberFormat="1" applyFont="1" applyAlignment="1">
      <alignment vertical="top" wrapText="1" shrinkToFit="1" readingOrder="1"/>
    </xf>
    <xf numFmtId="43" fontId="20" fillId="0" borderId="0" xfId="0" applyNumberFormat="1" applyFont="1"/>
    <xf numFmtId="4" fontId="25" fillId="0" borderId="0" xfId="0" applyNumberFormat="1" applyFont="1" applyAlignment="1">
      <alignment vertical="top" wrapText="1" shrinkToFit="1" readingOrder="1"/>
    </xf>
    <xf numFmtId="164" fontId="21" fillId="0" borderId="0" xfId="0" applyNumberFormat="1" applyFont="1" applyAlignment="1">
      <alignment horizontal="right" vertical="top" wrapText="1"/>
    </xf>
    <xf numFmtId="164" fontId="25" fillId="0" borderId="0" xfId="0" applyNumberFormat="1" applyFont="1" applyAlignment="1">
      <alignment horizontal="right" vertical="top" wrapText="1"/>
    </xf>
    <xf numFmtId="164" fontId="10" fillId="0" borderId="0" xfId="0" applyNumberFormat="1" applyFont="1" applyAlignment="1">
      <alignment horizontal="right" vertical="top" wrapText="1"/>
    </xf>
    <xf numFmtId="0" fontId="20" fillId="0" borderId="0" xfId="0" applyFont="1"/>
    <xf numFmtId="43" fontId="21" fillId="0" borderId="0" xfId="0" applyNumberFormat="1" applyFont="1"/>
    <xf numFmtId="43" fontId="21" fillId="0" borderId="0" xfId="0" applyNumberFormat="1" applyFont="1" applyAlignment="1">
      <alignment horizontal="right" vertical="top"/>
    </xf>
    <xf numFmtId="2" fontId="20" fillId="0" borderId="0" xfId="0" applyNumberFormat="1" applyFont="1"/>
    <xf numFmtId="43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 applyAlignment="1">
      <alignment horizontal="right" vertical="top" wrapText="1"/>
    </xf>
    <xf numFmtId="2" fontId="10" fillId="0" borderId="0" xfId="0" applyNumberFormat="1" applyFont="1" applyAlignment="1">
      <alignment horizontal="right" vertical="top" wrapText="1"/>
    </xf>
    <xf numFmtId="43" fontId="20" fillId="0" borderId="0" xfId="0" applyNumberFormat="1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4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43" fontId="26" fillId="0" borderId="0" xfId="0" applyNumberFormat="1" applyFont="1" applyAlignment="1">
      <alignment horizontal="right" vertical="top" wrapText="1" shrinkToFit="1" readingOrder="1"/>
    </xf>
    <xf numFmtId="43" fontId="25" fillId="0" borderId="0" xfId="0" applyNumberFormat="1" applyFont="1" applyAlignment="1">
      <alignment horizontal="right" vertical="top" wrapText="1" shrinkToFit="1" readingOrder="1"/>
    </xf>
    <xf numFmtId="165" fontId="10" fillId="0" borderId="0" xfId="0" applyNumberFormat="1" applyFont="1" applyAlignment="1">
      <alignment horizontal="right" vertical="top"/>
    </xf>
    <xf numFmtId="4" fontId="8" fillId="0" borderId="0" xfId="0" applyNumberFormat="1" applyFont="1" applyAlignment="1">
      <alignment horizontal="right" vertical="top"/>
    </xf>
    <xf numFmtId="4" fontId="20" fillId="0" borderId="0" xfId="0" applyNumberFormat="1" applyFont="1"/>
    <xf numFmtId="0" fontId="21" fillId="0" borderId="0" xfId="0" applyFont="1"/>
    <xf numFmtId="43" fontId="12" fillId="0" borderId="0" xfId="0" applyNumberFormat="1" applyFont="1" applyAlignment="1">
      <alignment vertical="top" wrapText="1"/>
    </xf>
    <xf numFmtId="0" fontId="0" fillId="0" borderId="4" xfId="0" applyBorder="1"/>
    <xf numFmtId="4" fontId="24" fillId="0" borderId="0" xfId="0" applyNumberFormat="1" applyFont="1" applyAlignment="1">
      <alignment vertical="top" wrapText="1" shrinkToFit="1" readingOrder="1"/>
    </xf>
    <xf numFmtId="164" fontId="26" fillId="0" borderId="0" xfId="0" applyNumberFormat="1" applyFont="1" applyAlignment="1">
      <alignment horizontal="right" vertical="top" wrapText="1"/>
    </xf>
    <xf numFmtId="4" fontId="0" fillId="0" borderId="0" xfId="0" applyNumberFormat="1"/>
    <xf numFmtId="4" fontId="23" fillId="2" borderId="0" xfId="0" applyNumberFormat="1" applyFont="1" applyFill="1" applyAlignment="1">
      <alignment vertical="top" wrapText="1" shrinkToFit="1" readingOrder="1"/>
    </xf>
    <xf numFmtId="43" fontId="29" fillId="0" borderId="0" xfId="0" applyNumberFormat="1" applyFont="1" applyAlignment="1">
      <alignment horizontal="right" vertical="top" wrapText="1" shrinkToFit="1" readingOrder="1"/>
    </xf>
    <xf numFmtId="43" fontId="22" fillId="0" borderId="0" xfId="0" applyNumberFormat="1" applyFont="1"/>
    <xf numFmtId="44" fontId="20" fillId="0" borderId="0" xfId="0" applyNumberFormat="1" applyFont="1"/>
    <xf numFmtId="4" fontId="25" fillId="2" borderId="0" xfId="0" applyNumberFormat="1" applyFont="1" applyFill="1" applyAlignment="1">
      <alignment vertical="top" wrapText="1" shrinkToFit="1" readingOrder="1"/>
    </xf>
    <xf numFmtId="4" fontId="10" fillId="2" borderId="0" xfId="0" applyNumberFormat="1" applyFont="1" applyFill="1" applyAlignment="1">
      <alignment horizontal="right" vertical="top"/>
    </xf>
    <xf numFmtId="164" fontId="20" fillId="2" borderId="0" xfId="0" applyNumberFormat="1" applyFont="1" applyFill="1" applyAlignment="1">
      <alignment horizontal="right" vertical="top"/>
    </xf>
    <xf numFmtId="44" fontId="0" fillId="2" borderId="0" xfId="0" applyNumberFormat="1" applyFill="1"/>
    <xf numFmtId="164" fontId="20" fillId="0" borderId="0" xfId="0" applyNumberFormat="1" applyFont="1"/>
    <xf numFmtId="4" fontId="26" fillId="2" borderId="0" xfId="0" applyNumberFormat="1" applyFont="1" applyFill="1" applyAlignment="1">
      <alignment vertical="top" wrapText="1" shrinkToFit="1" readingOrder="1"/>
    </xf>
    <xf numFmtId="165" fontId="8" fillId="2" borderId="0" xfId="0" applyNumberFormat="1" applyFont="1" applyFill="1" applyAlignment="1">
      <alignment horizontal="right" vertical="top"/>
    </xf>
    <xf numFmtId="164" fontId="21" fillId="2" borderId="0" xfId="0" applyNumberFormat="1" applyFont="1" applyFill="1" applyAlignment="1">
      <alignment horizontal="right" vertical="top"/>
    </xf>
    <xf numFmtId="0" fontId="20" fillId="2" borderId="0" xfId="0" applyFont="1" applyFill="1"/>
    <xf numFmtId="4" fontId="24" fillId="2" borderId="0" xfId="0" applyNumberFormat="1" applyFont="1" applyFill="1" applyAlignment="1">
      <alignment vertical="top" wrapText="1" shrinkToFit="1" readingOrder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24" fillId="0" borderId="0" xfId="0" applyFont="1" applyAlignment="1">
      <alignment horizontal="right" vertical="top" wrapText="1" shrinkToFit="1" readingOrder="1"/>
    </xf>
    <xf numFmtId="0" fontId="23" fillId="0" borderId="0" xfId="0" applyFont="1" applyAlignment="1">
      <alignment horizontal="right" vertical="top" wrapText="1" shrinkToFit="1" readingOrder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4" fillId="0" borderId="3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1085850</xdr:colOff>
      <xdr:row>0</xdr:row>
      <xdr:rowOff>66675</xdr:rowOff>
    </xdr:from>
    <xdr:to>
      <xdr:col>1</xdr:col>
      <xdr:colOff>1990725</xdr:colOff>
      <xdr:row>2</xdr:row>
      <xdr:rowOff>38100</xdr:rowOff>
    </xdr:to>
    <xdr:pic>
      <xdr:nvPicPr>
        <xdr:cNvPr id="2" name="Picture -767">
          <a:extLst>
            <a:ext uri="{FF2B5EF4-FFF2-40B4-BE49-F238E27FC236}">
              <a16:creationId xmlns:a16="http://schemas.microsoft.com/office/drawing/2014/main" id="{48100791-EC93-434F-8E6E-3C402429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"/>
          <a:ext cx="9048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1123950</xdr:colOff>
      <xdr:row>1</xdr:row>
      <xdr:rowOff>66675</xdr:rowOff>
    </xdr:from>
    <xdr:to>
      <xdr:col>1</xdr:col>
      <xdr:colOff>1123950</xdr:colOff>
      <xdr:row>1</xdr:row>
      <xdr:rowOff>276225</xdr:rowOff>
    </xdr:to>
    <xdr:pic>
      <xdr:nvPicPr>
        <xdr:cNvPr id="2" name="Picture -767">
          <a:extLst>
            <a:ext uri="{FF2B5EF4-FFF2-40B4-BE49-F238E27FC236}">
              <a16:creationId xmlns:a16="http://schemas.microsoft.com/office/drawing/2014/main" id="{619061F2-D15D-4429-8C85-7D67D65C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257175"/>
          <a:ext cx="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1022350</xdr:colOff>
      <xdr:row>0</xdr:row>
      <xdr:rowOff>184150</xdr:rowOff>
    </xdr:from>
    <xdr:to>
      <xdr:col>1</xdr:col>
      <xdr:colOff>1927225</xdr:colOff>
      <xdr:row>2</xdr:row>
      <xdr:rowOff>88900</xdr:rowOff>
    </xdr:to>
    <xdr:pic>
      <xdr:nvPicPr>
        <xdr:cNvPr id="3" name="Picture -767">
          <a:extLst>
            <a:ext uri="{FF2B5EF4-FFF2-40B4-BE49-F238E27FC236}">
              <a16:creationId xmlns:a16="http://schemas.microsoft.com/office/drawing/2014/main" id="{3B551551-D886-4263-8D47-E10E44BE2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975" y="184150"/>
          <a:ext cx="904875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1057275</xdr:colOff>
      <xdr:row>1</xdr:row>
      <xdr:rowOff>47239</xdr:rowOff>
    </xdr:from>
    <xdr:to>
      <xdr:col>1</xdr:col>
      <xdr:colOff>1057276</xdr:colOff>
      <xdr:row>2</xdr:row>
      <xdr:rowOff>103947</xdr:rowOff>
    </xdr:to>
    <xdr:pic>
      <xdr:nvPicPr>
        <xdr:cNvPr id="2" name="Picture 1" descr="CORAZON PERFECTO for IBM-PC">
          <a:extLst>
            <a:ext uri="{FF2B5EF4-FFF2-40B4-BE49-F238E27FC236}">
              <a16:creationId xmlns:a16="http://schemas.microsoft.com/office/drawing/2014/main" id="{35857127-2B1F-4745-8B46-4DD29803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7239"/>
          <a:ext cx="1" cy="2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866775</xdr:colOff>
      <xdr:row>0</xdr:row>
      <xdr:rowOff>114300</xdr:rowOff>
    </xdr:from>
    <xdr:to>
      <xdr:col>1</xdr:col>
      <xdr:colOff>1771650</xdr:colOff>
      <xdr:row>3</xdr:row>
      <xdr:rowOff>0</xdr:rowOff>
    </xdr:to>
    <xdr:pic>
      <xdr:nvPicPr>
        <xdr:cNvPr id="3" name="Picture -767">
          <a:extLst>
            <a:ext uri="{FF2B5EF4-FFF2-40B4-BE49-F238E27FC236}">
              <a16:creationId xmlns:a16="http://schemas.microsoft.com/office/drawing/2014/main" id="{DA1AA408-0078-4079-8FA7-C6FFD5CF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14300"/>
          <a:ext cx="9048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63E6-B588-4E60-8D36-CB6F106D7FD3}">
  <dimension ref="B2:J149"/>
  <sheetViews>
    <sheetView tabSelected="1" topLeftCell="A115" zoomScaleNormal="100" workbookViewId="0">
      <selection activeCell="H143" sqref="H143"/>
    </sheetView>
  </sheetViews>
  <sheetFormatPr baseColWidth="10" defaultRowHeight="15" x14ac:dyDescent="0.25"/>
  <cols>
    <col min="1" max="1" width="2" customWidth="1"/>
    <col min="2" max="2" width="38.5703125" customWidth="1"/>
    <col min="3" max="3" width="13" customWidth="1"/>
    <col min="4" max="7" width="18.7109375" customWidth="1"/>
    <col min="10" max="10" width="14.140625" bestFit="1" customWidth="1"/>
  </cols>
  <sheetData>
    <row r="2" spans="2:10" ht="57.75" customHeight="1" x14ac:dyDescent="0.25">
      <c r="B2" s="124" t="s">
        <v>0</v>
      </c>
      <c r="C2" s="124"/>
      <c r="D2" s="124"/>
      <c r="E2" s="124"/>
      <c r="F2" s="124"/>
      <c r="G2" s="124"/>
      <c r="H2" s="124"/>
    </row>
    <row r="3" spans="2:10" ht="18" x14ac:dyDescent="0.25">
      <c r="B3" s="125" t="s">
        <v>1</v>
      </c>
      <c r="C3" s="125"/>
      <c r="D3" s="125"/>
      <c r="E3" s="125"/>
      <c r="F3" s="125"/>
      <c r="G3" s="125"/>
      <c r="H3" s="125"/>
    </row>
    <row r="4" spans="2:10" ht="21.75" x14ac:dyDescent="0.25">
      <c r="B4" s="1"/>
      <c r="C4" s="1"/>
      <c r="D4" s="1"/>
      <c r="E4" s="1"/>
      <c r="F4" s="1"/>
      <c r="G4" s="1"/>
      <c r="H4" s="1"/>
    </row>
    <row r="5" spans="2:10" ht="16.5" thickBot="1" x14ac:dyDescent="0.3">
      <c r="B5" s="2"/>
      <c r="C5" s="126">
        <v>2024</v>
      </c>
      <c r="D5" s="126"/>
      <c r="E5" s="126">
        <v>2025</v>
      </c>
      <c r="F5" s="126"/>
      <c r="G5" s="3" t="s">
        <v>2</v>
      </c>
      <c r="H5" s="3"/>
    </row>
    <row r="6" spans="2:10" ht="12" customHeight="1" x14ac:dyDescent="0.25">
      <c r="B6" s="4" t="s">
        <v>3</v>
      </c>
      <c r="C6" s="4"/>
      <c r="D6" s="4"/>
      <c r="E6" s="4"/>
      <c r="F6" s="4"/>
      <c r="G6" s="2"/>
      <c r="H6" s="2"/>
    </row>
    <row r="7" spans="2:10" ht="12" customHeight="1" x14ac:dyDescent="0.25">
      <c r="B7" s="2"/>
      <c r="C7" s="2"/>
      <c r="D7" s="2"/>
      <c r="E7" s="5"/>
      <c r="F7" s="5"/>
      <c r="G7" s="5"/>
      <c r="H7" s="2"/>
    </row>
    <row r="8" spans="2:10" ht="12" customHeight="1" thickBot="1" x14ac:dyDescent="0.3">
      <c r="B8" s="6" t="s">
        <v>4</v>
      </c>
      <c r="C8" s="2"/>
      <c r="E8" s="7"/>
      <c r="F8" s="7"/>
      <c r="G8" s="7"/>
      <c r="H8" s="2"/>
    </row>
    <row r="9" spans="2:10" ht="12" customHeight="1" thickTop="1" x14ac:dyDescent="0.25">
      <c r="B9" s="8"/>
      <c r="C9" s="2"/>
      <c r="D9" s="2"/>
      <c r="E9" s="5"/>
      <c r="F9" s="5"/>
      <c r="G9" s="5"/>
      <c r="H9" s="2"/>
    </row>
    <row r="10" spans="2:10" ht="12" customHeight="1" thickBot="1" x14ac:dyDescent="0.3">
      <c r="B10" s="9" t="s">
        <v>5</v>
      </c>
      <c r="C10" s="10"/>
      <c r="D10" s="10"/>
      <c r="E10" s="11"/>
      <c r="F10" s="5"/>
      <c r="G10" s="5"/>
      <c r="H10" s="2"/>
    </row>
    <row r="11" spans="2:10" ht="12" customHeight="1" thickTop="1" x14ac:dyDescent="0.25">
      <c r="B11" s="8"/>
      <c r="C11" s="2"/>
      <c r="D11" s="2"/>
      <c r="E11" s="5"/>
      <c r="F11" s="5"/>
      <c r="G11" s="5"/>
      <c r="H11" s="2"/>
    </row>
    <row r="12" spans="2:10" ht="12" customHeight="1" thickBot="1" x14ac:dyDescent="0.3">
      <c r="B12" s="6" t="s">
        <v>6</v>
      </c>
      <c r="C12" s="2"/>
      <c r="D12" s="2"/>
      <c r="E12" s="5"/>
      <c r="F12" s="5"/>
      <c r="G12" s="5"/>
      <c r="H12" s="2"/>
    </row>
    <row r="13" spans="2:10" ht="12" customHeight="1" thickTop="1" x14ac:dyDescent="0.25">
      <c r="B13" s="8"/>
      <c r="C13" s="2"/>
      <c r="D13" s="2"/>
      <c r="E13" s="5"/>
      <c r="F13" s="5"/>
      <c r="G13" s="5"/>
      <c r="H13" s="2"/>
    </row>
    <row r="14" spans="2:10" ht="12" customHeight="1" x14ac:dyDescent="0.25">
      <c r="B14" s="12" t="s">
        <v>7</v>
      </c>
      <c r="C14" s="13"/>
      <c r="D14" s="14">
        <v>20144.400000000001</v>
      </c>
      <c r="E14" s="14"/>
      <c r="F14" s="14">
        <v>46130.73</v>
      </c>
      <c r="G14" s="14">
        <f>SUM(F14-D14)</f>
        <v>25986.33</v>
      </c>
      <c r="H14" s="15"/>
      <c r="J14" s="63"/>
    </row>
    <row r="15" spans="2:10" ht="12" customHeight="1" x14ac:dyDescent="0.25">
      <c r="B15" s="8"/>
      <c r="C15" s="2"/>
      <c r="D15" s="8"/>
      <c r="E15" s="5"/>
      <c r="F15" s="5"/>
      <c r="G15" s="5"/>
      <c r="H15" s="2"/>
      <c r="J15" s="63"/>
    </row>
    <row r="16" spans="2:10" ht="12" customHeight="1" x14ac:dyDescent="0.25">
      <c r="B16" s="12" t="s">
        <v>8</v>
      </c>
      <c r="C16" s="13"/>
      <c r="D16" s="14">
        <v>2933357.39</v>
      </c>
      <c r="E16" s="14"/>
      <c r="F16" s="14">
        <v>1588676.75</v>
      </c>
      <c r="G16" s="14">
        <f>SUM(F16-D16)</f>
        <v>-1344680.6400000001</v>
      </c>
      <c r="H16" s="16"/>
      <c r="J16" s="63"/>
    </row>
    <row r="17" spans="2:10" ht="12" customHeight="1" x14ac:dyDescent="0.25">
      <c r="B17" s="8"/>
      <c r="C17" s="2"/>
      <c r="D17" s="5"/>
      <c r="E17" s="5"/>
      <c r="F17" s="5"/>
      <c r="G17" s="5"/>
      <c r="H17" s="2"/>
      <c r="J17" s="63"/>
    </row>
    <row r="18" spans="2:10" ht="12" customHeight="1" x14ac:dyDescent="0.25">
      <c r="B18" s="12" t="s">
        <v>9</v>
      </c>
      <c r="C18" s="13"/>
      <c r="D18" s="14">
        <v>328966.42</v>
      </c>
      <c r="E18" s="14"/>
      <c r="F18" s="14">
        <v>287838.8</v>
      </c>
      <c r="G18" s="14">
        <f>SUM(F18-D18)</f>
        <v>-41127.619999999995</v>
      </c>
      <c r="H18" s="16"/>
      <c r="J18" s="63"/>
    </row>
    <row r="19" spans="2:10" ht="12" customHeight="1" x14ac:dyDescent="0.25">
      <c r="B19" s="8"/>
      <c r="C19" s="2"/>
      <c r="D19" s="17"/>
      <c r="E19" s="5"/>
      <c r="F19" s="17"/>
      <c r="G19" s="17"/>
      <c r="H19" s="2"/>
      <c r="J19" s="63"/>
    </row>
    <row r="20" spans="2:10" ht="12" customHeight="1" x14ac:dyDescent="0.25">
      <c r="B20" s="18" t="s">
        <v>10</v>
      </c>
      <c r="C20" s="19"/>
      <c r="D20" s="11">
        <f>SUM(D14:D18)</f>
        <v>3282468.21</v>
      </c>
      <c r="E20" s="11"/>
      <c r="F20" s="20">
        <f>SUM(F14:F19)</f>
        <v>1922646.28</v>
      </c>
      <c r="G20" s="20">
        <f>SUM(D20-F20)</f>
        <v>1359821.93</v>
      </c>
      <c r="H20" s="2"/>
      <c r="J20" s="63"/>
    </row>
    <row r="21" spans="2:10" ht="12" customHeight="1" x14ac:dyDescent="0.25">
      <c r="B21" s="8"/>
      <c r="C21" s="2"/>
      <c r="D21" s="5"/>
      <c r="E21" s="5"/>
      <c r="F21" s="5"/>
      <c r="G21" s="5"/>
      <c r="H21" s="2"/>
    </row>
    <row r="22" spans="2:10" ht="12" customHeight="1" thickBot="1" x14ac:dyDescent="0.3">
      <c r="B22" s="67" t="s">
        <v>228</v>
      </c>
      <c r="C22" s="2"/>
      <c r="D22" s="5"/>
      <c r="E22" s="5"/>
      <c r="F22" s="5"/>
      <c r="G22" s="5"/>
      <c r="H22" s="2"/>
    </row>
    <row r="23" spans="2:10" ht="12" customHeight="1" thickTop="1" x14ac:dyDescent="0.25">
      <c r="B23" s="8"/>
      <c r="C23" s="2"/>
      <c r="D23" s="5"/>
      <c r="E23" s="5"/>
      <c r="F23" s="5"/>
      <c r="G23" s="5"/>
      <c r="H23" s="2"/>
    </row>
    <row r="24" spans="2:10" ht="12" customHeight="1" x14ac:dyDescent="0.25">
      <c r="B24" s="8" t="s">
        <v>229</v>
      </c>
      <c r="C24" s="2"/>
      <c r="D24" s="5">
        <v>11085</v>
      </c>
      <c r="E24" s="5"/>
      <c r="F24" s="5"/>
      <c r="G24" s="5">
        <f>SUM(D24+F24)</f>
        <v>11085</v>
      </c>
      <c r="H24" s="2"/>
    </row>
    <row r="25" spans="2:10" ht="12" customHeight="1" x14ac:dyDescent="0.25">
      <c r="B25" s="21"/>
      <c r="C25" s="22"/>
      <c r="D25" s="134"/>
      <c r="E25" s="23"/>
      <c r="F25" s="68"/>
      <c r="G25" s="68"/>
      <c r="H25" s="24"/>
    </row>
    <row r="26" spans="2:10" ht="12" customHeight="1" x14ac:dyDescent="0.25">
      <c r="B26" s="21" t="s">
        <v>230</v>
      </c>
      <c r="C26" s="22"/>
      <c r="D26" s="25">
        <f>SUM(D24:D25)</f>
        <v>11085</v>
      </c>
      <c r="E26" s="23"/>
      <c r="F26" s="23">
        <f>SUM(F24)</f>
        <v>0</v>
      </c>
      <c r="G26" s="23">
        <f>SUM(D26+F26)</f>
        <v>11085</v>
      </c>
      <c r="H26" s="24"/>
    </row>
    <row r="27" spans="2:10" ht="12" customHeight="1" x14ac:dyDescent="0.25">
      <c r="B27" s="21"/>
      <c r="C27" s="22"/>
      <c r="D27" s="25"/>
      <c r="E27" s="23"/>
      <c r="F27" s="23"/>
      <c r="G27" s="23"/>
      <c r="H27" s="24"/>
    </row>
    <row r="28" spans="2:10" ht="12" customHeight="1" x14ac:dyDescent="0.25">
      <c r="B28" s="8"/>
      <c r="C28" s="2"/>
      <c r="D28" s="26"/>
      <c r="E28" s="5"/>
      <c r="F28" s="17"/>
      <c r="G28" s="17"/>
      <c r="H28" s="2"/>
    </row>
    <row r="29" spans="2:10" ht="12" customHeight="1" x14ac:dyDescent="0.25">
      <c r="B29" s="18" t="s">
        <v>11</v>
      </c>
      <c r="C29" s="19"/>
      <c r="D29" s="11">
        <f>SUM(+D20+D24)</f>
        <v>3293553.21</v>
      </c>
      <c r="E29" s="11"/>
      <c r="F29" s="20">
        <f>SUM(F20+F26)</f>
        <v>1922646.28</v>
      </c>
      <c r="G29" s="20">
        <f>SUM(D29-F29)</f>
        <v>1370906.93</v>
      </c>
      <c r="H29" s="2"/>
    </row>
    <row r="30" spans="2:10" ht="12" customHeight="1" x14ac:dyDescent="0.25">
      <c r="B30" s="8"/>
      <c r="C30" s="2"/>
      <c r="D30" s="27"/>
      <c r="E30" s="5"/>
      <c r="F30" s="5"/>
      <c r="G30" s="5"/>
      <c r="H30" s="2"/>
    </row>
    <row r="31" spans="2:10" ht="12" customHeight="1" thickBot="1" x14ac:dyDescent="0.3">
      <c r="B31" s="9" t="s">
        <v>12</v>
      </c>
      <c r="C31" s="19"/>
      <c r="D31" s="28"/>
      <c r="E31" s="11"/>
      <c r="F31" s="5"/>
      <c r="G31" s="5"/>
      <c r="H31" s="2"/>
    </row>
    <row r="32" spans="2:10" ht="12" customHeight="1" thickTop="1" x14ac:dyDescent="0.25">
      <c r="B32" s="8"/>
      <c r="C32" s="2"/>
      <c r="D32" s="27"/>
      <c r="E32" s="5"/>
      <c r="F32" s="5"/>
      <c r="G32" s="5"/>
      <c r="H32" s="2"/>
    </row>
    <row r="33" spans="2:10" ht="12" customHeight="1" thickBot="1" x14ac:dyDescent="0.3">
      <c r="B33" s="9" t="s">
        <v>13</v>
      </c>
      <c r="C33" s="19"/>
      <c r="D33" s="28"/>
      <c r="E33" s="11"/>
      <c r="F33" s="5"/>
      <c r="G33" s="5"/>
      <c r="H33" s="2"/>
    </row>
    <row r="34" spans="2:10" ht="12" customHeight="1" thickTop="1" x14ac:dyDescent="0.25">
      <c r="B34" s="8"/>
      <c r="C34" s="2"/>
      <c r="D34" s="27"/>
      <c r="E34" s="5"/>
      <c r="F34" s="5"/>
      <c r="G34" s="5"/>
      <c r="H34" s="2"/>
    </row>
    <row r="35" spans="2:10" ht="12" customHeight="1" x14ac:dyDescent="0.25">
      <c r="B35" s="12" t="s">
        <v>14</v>
      </c>
      <c r="C35" s="13"/>
      <c r="D35" s="14">
        <v>76421621.069999993</v>
      </c>
      <c r="E35" s="14"/>
      <c r="F35" s="14">
        <v>76421621.069999993</v>
      </c>
      <c r="G35" s="69">
        <f>SUM(F35-D35)</f>
        <v>0</v>
      </c>
      <c r="H35" s="16"/>
      <c r="J35" s="63"/>
    </row>
    <row r="36" spans="2:10" ht="12" customHeight="1" x14ac:dyDescent="0.25">
      <c r="B36" s="8"/>
      <c r="C36" s="2"/>
      <c r="D36" s="5"/>
      <c r="E36" s="5"/>
      <c r="F36" s="5"/>
      <c r="G36" s="14"/>
      <c r="H36" s="2"/>
      <c r="J36" s="63"/>
    </row>
    <row r="37" spans="2:10" ht="12" customHeight="1" x14ac:dyDescent="0.25">
      <c r="B37" s="12" t="s">
        <v>15</v>
      </c>
      <c r="C37" s="13"/>
      <c r="D37" s="14">
        <v>5933990.5700000003</v>
      </c>
      <c r="E37" s="14"/>
      <c r="F37" s="14">
        <v>6746037.3200000003</v>
      </c>
      <c r="G37" s="14">
        <f>SUM(F37-D37)</f>
        <v>812046.75</v>
      </c>
      <c r="H37" s="15"/>
      <c r="J37" s="63"/>
    </row>
    <row r="38" spans="2:10" ht="12" customHeight="1" x14ac:dyDescent="0.25">
      <c r="B38" s="8"/>
      <c r="C38" s="2"/>
      <c r="D38" s="5"/>
      <c r="E38" s="5"/>
      <c r="F38" s="5"/>
      <c r="G38" s="14"/>
      <c r="H38" s="29"/>
      <c r="J38" s="63"/>
    </row>
    <row r="39" spans="2:10" ht="12" customHeight="1" x14ac:dyDescent="0.25">
      <c r="B39" s="12" t="s">
        <v>16</v>
      </c>
      <c r="C39" s="13"/>
      <c r="D39" s="14">
        <v>5968359.2999999998</v>
      </c>
      <c r="E39" s="14"/>
      <c r="F39" s="14">
        <v>6512920.8200000003</v>
      </c>
      <c r="G39" s="14">
        <f>SUM(F39-D39)</f>
        <v>544561.52000000048</v>
      </c>
      <c r="H39" s="15"/>
      <c r="J39" s="63"/>
    </row>
    <row r="40" spans="2:10" ht="12" customHeight="1" x14ac:dyDescent="0.25">
      <c r="B40" s="8"/>
      <c r="C40" s="2"/>
      <c r="D40" s="5"/>
      <c r="E40" s="5"/>
      <c r="F40" s="5"/>
      <c r="G40" s="14"/>
      <c r="H40" s="2"/>
      <c r="J40" s="63"/>
    </row>
    <row r="41" spans="2:10" ht="12" customHeight="1" x14ac:dyDescent="0.25">
      <c r="B41" s="12" t="s">
        <v>17</v>
      </c>
      <c r="C41" s="13"/>
      <c r="D41" s="14">
        <v>15725500.25</v>
      </c>
      <c r="E41" s="14"/>
      <c r="F41" s="14">
        <v>15725500.25</v>
      </c>
      <c r="G41" s="69">
        <v>0</v>
      </c>
      <c r="H41" s="16"/>
      <c r="J41" s="63"/>
    </row>
    <row r="42" spans="2:10" ht="12" customHeight="1" x14ac:dyDescent="0.25">
      <c r="B42" s="8"/>
      <c r="C42" s="2"/>
      <c r="D42" s="5"/>
      <c r="E42" s="5"/>
      <c r="F42" s="5"/>
      <c r="G42" s="14"/>
      <c r="H42" s="2"/>
      <c r="J42" s="63"/>
    </row>
    <row r="43" spans="2:10" ht="12" customHeight="1" x14ac:dyDescent="0.25">
      <c r="B43" s="12" t="s">
        <v>19</v>
      </c>
      <c r="C43" s="13"/>
      <c r="D43" s="14">
        <v>-4622821.6100000003</v>
      </c>
      <c r="E43" s="14"/>
      <c r="F43" s="14">
        <v>-4886786.2300000004</v>
      </c>
      <c r="G43" s="14">
        <f t="shared" ref="G43:G45" si="0">SUM(F43-D43)</f>
        <v>-263964.62000000011</v>
      </c>
      <c r="H43" s="15"/>
      <c r="J43" s="63"/>
    </row>
    <row r="44" spans="2:10" ht="12" customHeight="1" x14ac:dyDescent="0.25">
      <c r="B44" s="12"/>
      <c r="C44" s="13"/>
      <c r="D44" s="14"/>
      <c r="E44" s="14"/>
      <c r="F44" s="14"/>
      <c r="G44" s="14"/>
      <c r="H44" s="15"/>
      <c r="J44" s="63"/>
    </row>
    <row r="45" spans="2:10" ht="12" customHeight="1" x14ac:dyDescent="0.25">
      <c r="B45" s="12" t="s">
        <v>250</v>
      </c>
      <c r="C45" s="13"/>
      <c r="D45" s="14"/>
      <c r="E45" s="14"/>
      <c r="F45" s="14">
        <v>-1042714.68</v>
      </c>
      <c r="G45" s="14">
        <f t="shared" si="0"/>
        <v>-1042714.68</v>
      </c>
      <c r="H45" s="15"/>
      <c r="J45" s="63"/>
    </row>
    <row r="46" spans="2:10" ht="12" customHeight="1" x14ac:dyDescent="0.25">
      <c r="B46" s="8"/>
      <c r="C46" s="2"/>
      <c r="D46" s="26"/>
      <c r="E46" s="5"/>
      <c r="F46" s="17"/>
      <c r="G46" s="30"/>
      <c r="H46" s="2"/>
      <c r="J46" s="63"/>
    </row>
    <row r="47" spans="2:10" ht="12" customHeight="1" x14ac:dyDescent="0.25">
      <c r="B47" s="18" t="s">
        <v>20</v>
      </c>
      <c r="C47" s="19"/>
      <c r="D47" s="11">
        <f>SUM(D35:D46)</f>
        <v>99426649.579999983</v>
      </c>
      <c r="E47" s="11"/>
      <c r="F47" s="20">
        <f>SUM(F35:F46)</f>
        <v>99476578.549999967</v>
      </c>
      <c r="G47" s="14">
        <f>SUM(D47-F47)</f>
        <v>-49928.969999983907</v>
      </c>
      <c r="H47" s="2"/>
      <c r="J47" s="63"/>
    </row>
    <row r="48" spans="2:10" ht="12" customHeight="1" x14ac:dyDescent="0.25">
      <c r="B48" s="8"/>
      <c r="C48" s="2"/>
      <c r="D48" s="26"/>
      <c r="E48" s="5"/>
      <c r="F48" s="31"/>
      <c r="G48" s="30"/>
      <c r="H48" s="2"/>
      <c r="J48" s="63"/>
    </row>
    <row r="49" spans="2:10" ht="12" customHeight="1" x14ac:dyDescent="0.25">
      <c r="B49" s="18" t="s">
        <v>21</v>
      </c>
      <c r="C49" s="19"/>
      <c r="D49" s="11">
        <f>SUM(D47)</f>
        <v>99426649.579999983</v>
      </c>
      <c r="E49" s="11"/>
      <c r="F49" s="20">
        <f>SUM(F47)</f>
        <v>99476578.549999967</v>
      </c>
      <c r="G49" s="14">
        <f t="shared" ref="G49:G58" si="1">SUM(D49-F49)</f>
        <v>-49928.969999983907</v>
      </c>
      <c r="H49" s="2"/>
      <c r="J49" s="63"/>
    </row>
    <row r="50" spans="2:10" ht="12" customHeight="1" x14ac:dyDescent="0.25">
      <c r="B50" s="18"/>
      <c r="C50" s="19"/>
      <c r="D50" s="11"/>
      <c r="E50" s="11"/>
      <c r="F50" s="20"/>
      <c r="G50" s="14"/>
      <c r="H50" s="2"/>
      <c r="J50" s="63"/>
    </row>
    <row r="51" spans="2:10" ht="12" customHeight="1" x14ac:dyDescent="0.25">
      <c r="B51" s="18" t="s">
        <v>251</v>
      </c>
      <c r="C51" s="19"/>
      <c r="D51" s="11"/>
      <c r="E51" s="11"/>
      <c r="F51" s="20"/>
      <c r="G51" s="14"/>
      <c r="H51" s="2"/>
      <c r="J51" s="63"/>
    </row>
    <row r="52" spans="2:10" ht="12" customHeight="1" x14ac:dyDescent="0.25">
      <c r="B52" s="18"/>
      <c r="C52" s="19"/>
      <c r="D52" s="11"/>
      <c r="E52" s="11"/>
      <c r="F52" s="20"/>
      <c r="G52" s="14"/>
      <c r="H52" s="2"/>
      <c r="J52" s="63"/>
    </row>
    <row r="53" spans="2:10" ht="12" customHeight="1" x14ac:dyDescent="0.25">
      <c r="B53" s="12" t="s">
        <v>252</v>
      </c>
      <c r="C53" s="19"/>
      <c r="D53" s="11"/>
      <c r="E53" s="11"/>
      <c r="F53" s="5">
        <v>454904.6</v>
      </c>
      <c r="G53" s="14">
        <f t="shared" si="1"/>
        <v>-454904.6</v>
      </c>
      <c r="H53" s="2"/>
      <c r="J53" s="63"/>
    </row>
    <row r="54" spans="2:10" ht="12" customHeight="1" x14ac:dyDescent="0.25">
      <c r="B54" s="12"/>
      <c r="C54" s="19"/>
      <c r="D54" s="53"/>
      <c r="E54" s="11"/>
      <c r="F54" s="17"/>
      <c r="G54" s="30"/>
      <c r="H54" s="2"/>
      <c r="J54" s="63"/>
    </row>
    <row r="55" spans="2:10" ht="12" customHeight="1" x14ac:dyDescent="0.25">
      <c r="B55" s="18" t="s">
        <v>253</v>
      </c>
      <c r="C55" s="19"/>
      <c r="D55" s="11"/>
      <c r="E55" s="11"/>
      <c r="F55" s="20">
        <f>SUM(F53)</f>
        <v>454904.6</v>
      </c>
      <c r="G55" s="14"/>
      <c r="H55" s="2"/>
      <c r="J55" s="63"/>
    </row>
    <row r="56" spans="2:10" ht="12" customHeight="1" x14ac:dyDescent="0.25">
      <c r="B56" s="18"/>
      <c r="C56" s="19"/>
      <c r="D56" s="11"/>
      <c r="E56" s="11"/>
      <c r="F56" s="20"/>
      <c r="G56" s="14"/>
      <c r="H56" s="2"/>
      <c r="J56" s="63"/>
    </row>
    <row r="57" spans="2:10" ht="12" customHeight="1" thickBot="1" x14ac:dyDescent="0.3">
      <c r="B57" s="8"/>
      <c r="C57" s="2"/>
      <c r="D57" s="32"/>
      <c r="E57" s="5"/>
      <c r="F57" s="33"/>
      <c r="G57" s="34"/>
      <c r="H57" s="2"/>
      <c r="J57" s="63"/>
    </row>
    <row r="58" spans="2:10" ht="12" customHeight="1" thickTop="1" x14ac:dyDescent="0.25">
      <c r="B58" s="18" t="s">
        <v>22</v>
      </c>
      <c r="C58" s="19"/>
      <c r="D58" s="11">
        <f>SUM(+D29+D49)</f>
        <v>102720202.78999998</v>
      </c>
      <c r="E58" s="11"/>
      <c r="F58" s="20">
        <f>SUM(F49+F29+F55)</f>
        <v>101854129.42999996</v>
      </c>
      <c r="G58" s="11">
        <f t="shared" si="1"/>
        <v>866073.36000001431</v>
      </c>
      <c r="H58" s="2"/>
      <c r="J58" s="63"/>
    </row>
    <row r="59" spans="2:10" ht="12" customHeight="1" x14ac:dyDescent="0.25">
      <c r="B59" s="8"/>
      <c r="C59" s="2"/>
      <c r="D59" s="2"/>
      <c r="E59" s="5"/>
      <c r="F59" s="5"/>
      <c r="G59" s="5"/>
      <c r="H59" s="2"/>
    </row>
    <row r="60" spans="2:10" ht="12" customHeight="1" thickBot="1" x14ac:dyDescent="0.3">
      <c r="B60" s="9" t="s">
        <v>23</v>
      </c>
      <c r="C60" s="19"/>
      <c r="D60" s="19"/>
      <c r="E60" s="11"/>
      <c r="F60" s="5"/>
      <c r="G60" s="5"/>
      <c r="H60" s="2"/>
    </row>
    <row r="61" spans="2:10" ht="12" customHeight="1" thickTop="1" x14ac:dyDescent="0.25">
      <c r="B61" s="8"/>
      <c r="C61" s="2"/>
      <c r="D61" s="2"/>
      <c r="E61" s="5"/>
      <c r="F61" s="5"/>
      <c r="G61" s="5"/>
      <c r="H61" s="2"/>
    </row>
    <row r="62" spans="2:10" ht="12" customHeight="1" thickBot="1" x14ac:dyDescent="0.3">
      <c r="B62" s="9" t="s">
        <v>24</v>
      </c>
      <c r="C62" s="19"/>
      <c r="D62" s="19"/>
      <c r="E62" s="11"/>
      <c r="F62" s="5"/>
      <c r="G62" s="5"/>
      <c r="H62" s="2"/>
    </row>
    <row r="63" spans="2:10" ht="12" customHeight="1" thickTop="1" x14ac:dyDescent="0.25">
      <c r="B63" s="8"/>
      <c r="C63" s="2"/>
      <c r="D63" s="2"/>
      <c r="E63" s="5"/>
      <c r="F63" s="5"/>
      <c r="G63" s="5"/>
      <c r="H63" s="2"/>
    </row>
    <row r="64" spans="2:10" ht="12" customHeight="1" thickBot="1" x14ac:dyDescent="0.3">
      <c r="B64" s="9" t="s">
        <v>25</v>
      </c>
      <c r="C64" s="19"/>
      <c r="D64" s="19"/>
      <c r="E64" s="11"/>
      <c r="F64" s="5"/>
      <c r="G64" s="5"/>
      <c r="H64" s="2"/>
    </row>
    <row r="65" spans="2:10" ht="12" customHeight="1" thickTop="1" x14ac:dyDescent="0.25">
      <c r="B65" s="8"/>
      <c r="C65" s="2"/>
      <c r="D65" s="2"/>
      <c r="E65" s="5"/>
      <c r="F65" s="5"/>
      <c r="G65" s="5"/>
      <c r="H65" s="2"/>
    </row>
    <row r="66" spans="2:10" ht="12" customHeight="1" x14ac:dyDescent="0.25">
      <c r="B66" s="12" t="s">
        <v>26</v>
      </c>
      <c r="C66" s="14">
        <v>116609.72</v>
      </c>
      <c r="D66" s="14"/>
      <c r="E66" s="14">
        <v>65735.399999999994</v>
      </c>
      <c r="F66" s="14"/>
      <c r="G66" s="14">
        <f>SUM(E66-C66)</f>
        <v>-50874.320000000007</v>
      </c>
      <c r="H66" s="16"/>
      <c r="J66" s="63"/>
    </row>
    <row r="67" spans="2:10" ht="12" customHeight="1" x14ac:dyDescent="0.25">
      <c r="B67" s="8"/>
      <c r="C67" s="5"/>
      <c r="D67" s="5"/>
      <c r="E67" s="5"/>
      <c r="F67" s="5"/>
      <c r="G67" s="14">
        <f t="shared" ref="G67:G71" si="2">SUM(E67-C67)</f>
        <v>0</v>
      </c>
      <c r="H67" s="2"/>
      <c r="J67" s="63"/>
    </row>
    <row r="68" spans="2:10" ht="12" customHeight="1" x14ac:dyDescent="0.25">
      <c r="B68" s="12"/>
      <c r="C68" s="14"/>
      <c r="D68" s="14"/>
      <c r="E68" s="14"/>
      <c r="F68" s="14"/>
      <c r="G68" s="14">
        <f t="shared" si="2"/>
        <v>0</v>
      </c>
      <c r="H68" s="16"/>
      <c r="J68" s="63"/>
    </row>
    <row r="69" spans="2:10" ht="12" customHeight="1" x14ac:dyDescent="0.25">
      <c r="B69" s="12" t="s">
        <v>231</v>
      </c>
      <c r="C69" s="14">
        <v>87871.33</v>
      </c>
      <c r="D69" s="14"/>
      <c r="E69" s="14">
        <v>151615.91</v>
      </c>
      <c r="F69" s="14"/>
      <c r="G69" s="14">
        <f t="shared" si="2"/>
        <v>63744.58</v>
      </c>
      <c r="H69" s="16"/>
      <c r="J69" s="63"/>
    </row>
    <row r="70" spans="2:10" ht="12" customHeight="1" x14ac:dyDescent="0.25">
      <c r="B70" s="12"/>
      <c r="C70" s="14"/>
      <c r="D70" s="14"/>
      <c r="E70" s="14"/>
      <c r="F70" s="14"/>
      <c r="G70" s="14">
        <f t="shared" si="2"/>
        <v>0</v>
      </c>
      <c r="H70" s="16"/>
      <c r="J70" s="63"/>
    </row>
    <row r="71" spans="2:10" ht="12" customHeight="1" x14ac:dyDescent="0.25">
      <c r="B71" t="s">
        <v>232</v>
      </c>
      <c r="C71" s="14">
        <v>720059.83</v>
      </c>
      <c r="D71" s="14"/>
      <c r="E71" s="14">
        <v>809469.05</v>
      </c>
      <c r="F71" s="14"/>
      <c r="G71" s="14">
        <f t="shared" si="2"/>
        <v>89409.220000000088</v>
      </c>
      <c r="H71" s="16"/>
      <c r="I71" s="59"/>
      <c r="J71" s="63"/>
    </row>
    <row r="72" spans="2:10" ht="12" customHeight="1" x14ac:dyDescent="0.25">
      <c r="B72" s="8"/>
      <c r="C72" s="5"/>
      <c r="D72" s="17"/>
      <c r="E72" s="5"/>
      <c r="F72" s="17"/>
      <c r="G72" s="17"/>
      <c r="H72" s="2"/>
      <c r="J72" s="63"/>
    </row>
    <row r="73" spans="2:10" ht="12" customHeight="1" x14ac:dyDescent="0.25">
      <c r="B73" s="18" t="s">
        <v>27</v>
      </c>
      <c r="C73" s="11"/>
      <c r="D73" s="11">
        <f>SUM(C66:C72)</f>
        <v>924540.87999999989</v>
      </c>
      <c r="E73" s="11"/>
      <c r="F73" s="20">
        <f>SUM(E66:E71)</f>
        <v>1026820.3600000001</v>
      </c>
      <c r="G73" s="20">
        <f>SUM(F73-D73)</f>
        <v>102279.48000000021</v>
      </c>
      <c r="H73" s="2"/>
      <c r="J73" s="63"/>
    </row>
    <row r="74" spans="2:10" ht="12" customHeight="1" x14ac:dyDescent="0.25">
      <c r="B74" s="8"/>
      <c r="C74" s="2"/>
      <c r="D74" s="2"/>
      <c r="E74" s="5"/>
      <c r="F74" s="5"/>
      <c r="G74" s="5"/>
      <c r="H74" s="2"/>
      <c r="J74" s="63"/>
    </row>
    <row r="75" spans="2:10" ht="12" customHeight="1" thickBot="1" x14ac:dyDescent="0.3">
      <c r="B75" s="9" t="s">
        <v>28</v>
      </c>
      <c r="C75" s="19"/>
      <c r="D75" s="19"/>
      <c r="E75" s="11"/>
      <c r="F75" s="5"/>
      <c r="G75" s="5"/>
      <c r="H75" s="2"/>
      <c r="J75" s="63"/>
    </row>
    <row r="76" spans="2:10" ht="12" customHeight="1" thickTop="1" x14ac:dyDescent="0.25">
      <c r="B76" s="8"/>
      <c r="C76" s="2"/>
      <c r="D76" s="2"/>
      <c r="E76" s="5"/>
      <c r="F76" s="5"/>
      <c r="G76" s="5"/>
      <c r="H76" s="2"/>
      <c r="J76" s="63"/>
    </row>
    <row r="77" spans="2:10" ht="12" customHeight="1" x14ac:dyDescent="0.25">
      <c r="B77" s="12" t="s">
        <v>29</v>
      </c>
      <c r="C77" s="14">
        <v>114367.97</v>
      </c>
      <c r="D77" s="14"/>
      <c r="E77" s="14">
        <v>109998.27</v>
      </c>
      <c r="F77" s="14"/>
      <c r="G77" s="14">
        <f>SUM(E77-C77)</f>
        <v>-4369.6999999999971</v>
      </c>
      <c r="H77" s="16"/>
      <c r="J77" s="63"/>
    </row>
    <row r="78" spans="2:10" ht="12" customHeight="1" x14ac:dyDescent="0.25">
      <c r="B78" s="8"/>
      <c r="C78" s="5"/>
      <c r="D78" s="5"/>
      <c r="E78" s="5"/>
      <c r="F78" s="5"/>
      <c r="G78" s="14"/>
      <c r="H78" s="2"/>
      <c r="J78" s="63"/>
    </row>
    <row r="79" spans="2:10" ht="12" customHeight="1" x14ac:dyDescent="0.25">
      <c r="B79" s="12" t="s">
        <v>30</v>
      </c>
      <c r="C79" s="14">
        <v>1717</v>
      </c>
      <c r="D79" s="14"/>
      <c r="E79" s="14">
        <v>2370.2199999999998</v>
      </c>
      <c r="F79" s="14"/>
      <c r="G79" s="14">
        <f t="shared" ref="G79:G85" si="3">SUM(E79-C79)</f>
        <v>653.2199999999998</v>
      </c>
      <c r="H79" s="16"/>
      <c r="J79" s="63"/>
    </row>
    <row r="80" spans="2:10" ht="12" customHeight="1" x14ac:dyDescent="0.25">
      <c r="B80" s="35"/>
      <c r="C80" s="36"/>
      <c r="D80" s="36"/>
      <c r="E80" s="36"/>
      <c r="F80" s="36"/>
      <c r="G80" s="14"/>
      <c r="H80" s="37"/>
      <c r="J80" s="63"/>
    </row>
    <row r="81" spans="2:10" ht="12" customHeight="1" x14ac:dyDescent="0.25">
      <c r="B81" s="12" t="s">
        <v>31</v>
      </c>
      <c r="C81" s="14">
        <v>51342.32</v>
      </c>
      <c r="D81" s="14"/>
      <c r="E81" s="14">
        <v>184122.9</v>
      </c>
      <c r="F81" s="14"/>
      <c r="G81" s="14">
        <f t="shared" si="3"/>
        <v>132780.57999999999</v>
      </c>
      <c r="H81" s="16"/>
      <c r="J81" s="63"/>
    </row>
    <row r="82" spans="2:10" ht="12" customHeight="1" x14ac:dyDescent="0.25">
      <c r="B82" s="8"/>
      <c r="C82" s="5"/>
      <c r="D82" s="5"/>
      <c r="E82" s="5"/>
      <c r="F82" s="5"/>
      <c r="G82" s="14"/>
      <c r="H82" s="2"/>
      <c r="J82" s="63"/>
    </row>
    <row r="83" spans="2:10" ht="12" customHeight="1" x14ac:dyDescent="0.25">
      <c r="B83" s="12" t="s">
        <v>32</v>
      </c>
      <c r="C83" s="14">
        <v>6657.51</v>
      </c>
      <c r="D83" s="14"/>
      <c r="E83" s="14">
        <v>6639.26</v>
      </c>
      <c r="F83" s="14"/>
      <c r="G83" s="14">
        <f t="shared" si="3"/>
        <v>-18.25</v>
      </c>
      <c r="H83" s="16"/>
      <c r="J83" s="63"/>
    </row>
    <row r="84" spans="2:10" ht="12" customHeight="1" x14ac:dyDescent="0.25">
      <c r="B84" s="12"/>
      <c r="C84" s="14"/>
      <c r="D84" s="14"/>
      <c r="E84" s="14"/>
      <c r="F84" s="14"/>
      <c r="G84" s="14"/>
      <c r="H84" s="16"/>
      <c r="J84" s="63"/>
    </row>
    <row r="85" spans="2:10" ht="12" customHeight="1" x14ac:dyDescent="0.25">
      <c r="B85" s="12" t="s">
        <v>254</v>
      </c>
      <c r="C85" s="14"/>
      <c r="D85" s="14"/>
      <c r="E85" s="14">
        <v>454904.6</v>
      </c>
      <c r="F85" s="14"/>
      <c r="G85" s="14">
        <f t="shared" si="3"/>
        <v>454904.6</v>
      </c>
      <c r="H85" s="16"/>
      <c r="J85" s="63"/>
    </row>
    <row r="86" spans="2:10" ht="12" customHeight="1" x14ac:dyDescent="0.25">
      <c r="B86" s="8"/>
      <c r="C86" s="5"/>
      <c r="D86" s="17"/>
      <c r="E86" s="5"/>
      <c r="F86" s="17"/>
      <c r="G86" s="14"/>
      <c r="H86" s="2"/>
      <c r="J86" s="63"/>
    </row>
    <row r="87" spans="2:10" ht="12" customHeight="1" x14ac:dyDescent="0.25">
      <c r="B87" s="18" t="s">
        <v>33</v>
      </c>
      <c r="C87" s="11"/>
      <c r="D87" s="11">
        <f>SUM(C77:C83)</f>
        <v>174084.80000000002</v>
      </c>
      <c r="E87" s="11"/>
      <c r="F87" s="11">
        <f>SUM(E77:E86)</f>
        <v>758035.25</v>
      </c>
      <c r="G87" s="11">
        <f>SUM(F87-D87)</f>
        <v>583950.44999999995</v>
      </c>
      <c r="H87" s="10"/>
      <c r="I87" s="59"/>
      <c r="J87" s="63"/>
    </row>
    <row r="88" spans="2:10" ht="12" customHeight="1" x14ac:dyDescent="0.25">
      <c r="B88" s="8"/>
      <c r="C88" s="2"/>
      <c r="D88" s="2"/>
      <c r="E88" s="5"/>
      <c r="F88" s="5"/>
      <c r="G88" s="5"/>
      <c r="H88" s="2"/>
      <c r="J88" s="63"/>
    </row>
    <row r="89" spans="2:10" ht="12" customHeight="1" thickBot="1" x14ac:dyDescent="0.3">
      <c r="B89" s="9" t="s">
        <v>34</v>
      </c>
      <c r="C89" s="19"/>
      <c r="D89" s="19"/>
      <c r="E89" s="11"/>
      <c r="F89" s="11"/>
      <c r="G89" s="11"/>
      <c r="H89" s="10"/>
      <c r="J89" s="63"/>
    </row>
    <row r="90" spans="2:10" ht="12" customHeight="1" thickTop="1" x14ac:dyDescent="0.25">
      <c r="B90" s="8"/>
      <c r="C90" s="2"/>
      <c r="D90" s="2"/>
      <c r="E90" s="5"/>
      <c r="F90" s="5"/>
      <c r="G90" s="5"/>
      <c r="H90" s="2"/>
      <c r="J90" s="63"/>
    </row>
    <row r="91" spans="2:10" ht="12" customHeight="1" x14ac:dyDescent="0.25">
      <c r="B91" s="12" t="s">
        <v>63</v>
      </c>
      <c r="C91" s="14">
        <v>3403796.76</v>
      </c>
      <c r="D91" s="14"/>
      <c r="E91" s="14">
        <v>3584881.89</v>
      </c>
      <c r="F91" s="14"/>
      <c r="G91" s="14">
        <f>SUM(E91-C91)</f>
        <v>181085.13000000035</v>
      </c>
      <c r="H91" s="16"/>
      <c r="J91" s="63"/>
    </row>
    <row r="92" spans="2:10" ht="12" customHeight="1" x14ac:dyDescent="0.25">
      <c r="B92" s="8"/>
      <c r="C92" s="5"/>
      <c r="D92" s="5"/>
      <c r="E92" s="5"/>
      <c r="F92" s="5"/>
      <c r="G92" s="14"/>
      <c r="H92" s="2"/>
      <c r="J92" s="63"/>
    </row>
    <row r="93" spans="2:10" ht="12" customHeight="1" x14ac:dyDescent="0.25">
      <c r="B93" s="12" t="s">
        <v>35</v>
      </c>
      <c r="C93" s="14">
        <v>37658.15</v>
      </c>
      <c r="D93" s="14"/>
      <c r="E93" s="14">
        <v>73654.17</v>
      </c>
      <c r="F93" s="14"/>
      <c r="G93" s="14">
        <f t="shared" ref="G93:G103" si="4">SUM(E93-C93)</f>
        <v>35996.019999999997</v>
      </c>
      <c r="H93" s="16"/>
      <c r="J93" s="63"/>
    </row>
    <row r="94" spans="2:10" ht="12" customHeight="1" x14ac:dyDescent="0.25">
      <c r="B94" s="8"/>
      <c r="C94" s="5"/>
      <c r="D94" s="5"/>
      <c r="E94" s="5"/>
      <c r="F94" s="5"/>
      <c r="G94" s="14"/>
      <c r="H94" s="2"/>
      <c r="J94" s="63"/>
    </row>
    <row r="95" spans="2:10" ht="12" customHeight="1" x14ac:dyDescent="0.25">
      <c r="B95" s="12" t="s">
        <v>36</v>
      </c>
      <c r="C95" s="14">
        <v>115663.45</v>
      </c>
      <c r="D95" s="14"/>
      <c r="E95" s="14">
        <v>54398.16</v>
      </c>
      <c r="F95" s="14"/>
      <c r="G95" s="14">
        <f t="shared" si="4"/>
        <v>-61265.289999999994</v>
      </c>
      <c r="H95" s="16"/>
      <c r="J95" s="63"/>
    </row>
    <row r="96" spans="2:10" ht="12" customHeight="1" x14ac:dyDescent="0.25">
      <c r="B96" s="8"/>
      <c r="C96" s="5"/>
      <c r="D96" s="5"/>
      <c r="E96" s="5"/>
      <c r="F96" s="5"/>
      <c r="G96" s="14"/>
      <c r="H96" s="2"/>
      <c r="J96" s="63"/>
    </row>
    <row r="97" spans="2:10" ht="12" customHeight="1" x14ac:dyDescent="0.25">
      <c r="B97" s="12" t="s">
        <v>37</v>
      </c>
      <c r="C97" s="14">
        <v>11425</v>
      </c>
      <c r="D97" s="14"/>
      <c r="E97" s="14">
        <v>10142.42</v>
      </c>
      <c r="F97" s="14"/>
      <c r="G97" s="14">
        <f t="shared" si="4"/>
        <v>-1282.58</v>
      </c>
      <c r="H97" s="16"/>
      <c r="J97" s="63"/>
    </row>
    <row r="98" spans="2:10" ht="12" customHeight="1" x14ac:dyDescent="0.25">
      <c r="B98" s="8"/>
      <c r="C98" s="5"/>
      <c r="D98" s="5"/>
      <c r="E98" s="5"/>
      <c r="F98" s="5"/>
      <c r="G98" s="14"/>
      <c r="H98" s="2"/>
      <c r="J98" s="63"/>
    </row>
    <row r="99" spans="2:10" ht="12" customHeight="1" x14ac:dyDescent="0.25">
      <c r="B99" s="12" t="s">
        <v>38</v>
      </c>
      <c r="C99" s="14">
        <v>12173.49</v>
      </c>
      <c r="D99" s="14"/>
      <c r="E99" s="14">
        <v>14520.57</v>
      </c>
      <c r="F99" s="14"/>
      <c r="G99" s="14">
        <f t="shared" si="4"/>
        <v>2347.08</v>
      </c>
      <c r="H99" s="16"/>
      <c r="J99" s="63"/>
    </row>
    <row r="100" spans="2:10" ht="12" customHeight="1" x14ac:dyDescent="0.25">
      <c r="B100" s="8"/>
      <c r="C100" s="7"/>
      <c r="D100" s="5"/>
      <c r="E100" s="5"/>
      <c r="F100" s="5"/>
      <c r="G100" s="14"/>
      <c r="H100" s="2"/>
      <c r="J100" s="63"/>
    </row>
    <row r="101" spans="2:10" ht="12" customHeight="1" x14ac:dyDescent="0.25">
      <c r="B101" s="12" t="s">
        <v>39</v>
      </c>
      <c r="C101" s="5">
        <v>306167.02</v>
      </c>
      <c r="D101" s="14"/>
      <c r="E101" s="14">
        <v>322691.69</v>
      </c>
      <c r="F101" s="14"/>
      <c r="G101" s="14">
        <f t="shared" si="4"/>
        <v>16524.669999999984</v>
      </c>
      <c r="H101" s="16"/>
      <c r="J101" s="63"/>
    </row>
    <row r="102" spans="2:10" ht="12" customHeight="1" x14ac:dyDescent="0.25">
      <c r="B102" s="12"/>
      <c r="C102" s="5"/>
      <c r="D102" s="14"/>
      <c r="E102" s="14"/>
      <c r="F102" s="14"/>
      <c r="G102" s="14"/>
      <c r="H102" s="16"/>
      <c r="J102" s="63"/>
    </row>
    <row r="103" spans="2:10" ht="12" customHeight="1" x14ac:dyDescent="0.25">
      <c r="B103" s="12" t="s">
        <v>233</v>
      </c>
      <c r="C103" s="5">
        <v>451200.29</v>
      </c>
      <c r="D103" s="14"/>
      <c r="E103" s="14">
        <v>451200.29</v>
      </c>
      <c r="F103" s="14"/>
      <c r="G103" s="14">
        <f t="shared" si="4"/>
        <v>0</v>
      </c>
      <c r="H103" s="16"/>
      <c r="J103" s="63"/>
    </row>
    <row r="104" spans="2:10" ht="12" customHeight="1" x14ac:dyDescent="0.25">
      <c r="B104" s="8"/>
      <c r="C104" s="5"/>
      <c r="D104" s="17"/>
      <c r="E104" s="5"/>
      <c r="F104" s="17"/>
      <c r="G104" s="17"/>
      <c r="H104" s="2"/>
      <c r="J104" s="63"/>
    </row>
    <row r="105" spans="2:10" ht="12" customHeight="1" x14ac:dyDescent="0.25">
      <c r="B105" s="18" t="s">
        <v>40</v>
      </c>
      <c r="C105" s="11"/>
      <c r="D105" s="11">
        <f>SUM(C91:C104)</f>
        <v>4338084.16</v>
      </c>
      <c r="E105" s="11"/>
      <c r="F105" s="11">
        <f>SUM(E91:E103)</f>
        <v>4511489.1899999995</v>
      </c>
      <c r="G105" s="11">
        <f>SUM(F105-D105)</f>
        <v>173405.02999999933</v>
      </c>
      <c r="H105" s="10"/>
      <c r="J105" s="63"/>
    </row>
    <row r="106" spans="2:10" ht="12" customHeight="1" x14ac:dyDescent="0.25">
      <c r="B106" s="8"/>
      <c r="C106" s="5"/>
      <c r="D106" s="17"/>
      <c r="E106" s="5"/>
      <c r="F106" s="17"/>
      <c r="G106" s="17"/>
      <c r="H106" s="2"/>
      <c r="J106" s="63"/>
    </row>
    <row r="107" spans="2:10" ht="12" customHeight="1" x14ac:dyDescent="0.25">
      <c r="B107" s="18" t="s">
        <v>41</v>
      </c>
      <c r="C107" s="19"/>
      <c r="D107" s="11">
        <f>SUM(D105+D87+D73)</f>
        <v>5436709.8399999999</v>
      </c>
      <c r="E107" s="11"/>
      <c r="F107" s="20">
        <f>SUM(F105+F87+F73)</f>
        <v>6296344.7999999998</v>
      </c>
      <c r="G107" s="5">
        <f>SUM(F107-D107)</f>
        <v>859634.96</v>
      </c>
      <c r="H107" s="2"/>
      <c r="J107" s="63"/>
    </row>
    <row r="108" spans="2:10" ht="12" customHeight="1" thickBot="1" x14ac:dyDescent="0.3">
      <c r="B108" s="8"/>
      <c r="C108" s="2"/>
      <c r="D108" s="32"/>
      <c r="E108" s="5"/>
      <c r="F108" s="33"/>
      <c r="G108" s="33"/>
      <c r="H108" s="2"/>
      <c r="J108" s="63"/>
    </row>
    <row r="109" spans="2:10" ht="12" customHeight="1" thickTop="1" x14ac:dyDescent="0.25">
      <c r="B109" s="18" t="s">
        <v>42</v>
      </c>
      <c r="C109" s="19"/>
      <c r="D109" s="11">
        <f>SUM(D107)</f>
        <v>5436709.8399999999</v>
      </c>
      <c r="E109" s="11"/>
      <c r="F109" s="20">
        <f>SUM(F107)</f>
        <v>6296344.7999999998</v>
      </c>
      <c r="G109" s="5">
        <f>SUM(F109-D109)</f>
        <v>859634.96</v>
      </c>
      <c r="H109" s="2"/>
      <c r="J109" s="63"/>
    </row>
    <row r="110" spans="2:10" ht="12" customHeight="1" x14ac:dyDescent="0.25">
      <c r="B110" s="38"/>
      <c r="C110" s="2"/>
      <c r="D110" s="8"/>
      <c r="E110" s="5"/>
      <c r="F110" s="5"/>
      <c r="G110" s="5"/>
      <c r="H110" s="2"/>
      <c r="J110" s="63"/>
    </row>
    <row r="111" spans="2:10" ht="12" customHeight="1" x14ac:dyDescent="0.25">
      <c r="B111" s="18" t="s">
        <v>43</v>
      </c>
      <c r="C111" s="19"/>
      <c r="D111" s="2"/>
      <c r="E111" s="5"/>
      <c r="F111" s="5"/>
      <c r="G111" s="5"/>
      <c r="H111" s="2"/>
      <c r="J111" s="63"/>
    </row>
    <row r="112" spans="2:10" ht="12" customHeight="1" x14ac:dyDescent="0.25">
      <c r="B112" s="8"/>
      <c r="C112" s="2"/>
      <c r="D112" s="2"/>
      <c r="E112" s="5"/>
      <c r="F112" s="5"/>
      <c r="G112" s="5"/>
      <c r="H112" s="2"/>
      <c r="J112" s="63"/>
    </row>
    <row r="113" spans="2:10" ht="12" customHeight="1" thickBot="1" x14ac:dyDescent="0.3">
      <c r="B113" s="9" t="s">
        <v>44</v>
      </c>
      <c r="C113" s="11"/>
      <c r="D113" s="11"/>
      <c r="E113" s="11"/>
      <c r="F113" s="11"/>
      <c r="G113" s="11"/>
      <c r="H113" s="10"/>
      <c r="J113" s="63"/>
    </row>
    <row r="114" spans="2:10" ht="12" customHeight="1" thickTop="1" x14ac:dyDescent="0.25">
      <c r="B114" s="8"/>
      <c r="C114" s="5"/>
      <c r="D114" s="5"/>
      <c r="E114" s="5"/>
      <c r="F114" s="5"/>
      <c r="G114" s="5"/>
      <c r="H114" s="2"/>
      <c r="J114" s="63"/>
    </row>
    <row r="115" spans="2:10" ht="12" customHeight="1" x14ac:dyDescent="0.25">
      <c r="B115" s="12" t="s">
        <v>45</v>
      </c>
      <c r="C115" s="14">
        <v>18703328.66</v>
      </c>
      <c r="D115" s="14"/>
      <c r="E115" s="14">
        <v>18703328.66</v>
      </c>
      <c r="F115" s="14"/>
      <c r="G115" s="69">
        <f>SUM(C115-E115)</f>
        <v>0</v>
      </c>
      <c r="H115" s="16"/>
      <c r="J115" s="63"/>
    </row>
    <row r="116" spans="2:10" ht="12" customHeight="1" x14ac:dyDescent="0.25">
      <c r="B116" s="12"/>
      <c r="C116" s="14"/>
      <c r="D116" s="14"/>
      <c r="E116" s="14"/>
      <c r="F116" s="14"/>
      <c r="G116" s="14"/>
      <c r="H116" s="16"/>
      <c r="J116" s="63"/>
    </row>
    <row r="117" spans="2:10" ht="12" customHeight="1" x14ac:dyDescent="0.25">
      <c r="B117" s="12" t="s">
        <v>46</v>
      </c>
      <c r="C117" s="14">
        <v>144839.20000000001</v>
      </c>
      <c r="D117" s="14"/>
      <c r="E117" s="14">
        <v>144839.20000000001</v>
      </c>
      <c r="F117" s="14"/>
      <c r="G117" s="14"/>
      <c r="H117" s="16"/>
      <c r="J117" s="63"/>
    </row>
    <row r="118" spans="2:10" ht="12" customHeight="1" x14ac:dyDescent="0.25">
      <c r="B118" s="8"/>
      <c r="C118" s="5"/>
      <c r="D118" s="17"/>
      <c r="E118" s="5"/>
      <c r="F118" s="17"/>
      <c r="G118" s="17"/>
      <c r="H118" s="2"/>
      <c r="J118" s="63"/>
    </row>
    <row r="119" spans="2:10" ht="12" customHeight="1" x14ac:dyDescent="0.25">
      <c r="B119" s="18" t="s">
        <v>47</v>
      </c>
      <c r="C119" s="11"/>
      <c r="D119" s="11">
        <f>SUM(C115:C117)</f>
        <v>18848167.859999999</v>
      </c>
      <c r="E119" s="11"/>
      <c r="F119" s="11">
        <v>18848167.859999999</v>
      </c>
      <c r="G119" s="70">
        <f>SUM(D119-F119)</f>
        <v>0</v>
      </c>
      <c r="H119" s="10"/>
      <c r="J119" s="63"/>
    </row>
    <row r="120" spans="2:10" ht="12" customHeight="1" x14ac:dyDescent="0.25">
      <c r="B120" s="8"/>
      <c r="C120" s="2"/>
      <c r="D120" s="2"/>
      <c r="E120" s="5"/>
      <c r="F120" s="5"/>
      <c r="G120" s="5"/>
      <c r="H120" s="2"/>
      <c r="J120" s="63"/>
    </row>
    <row r="121" spans="2:10" ht="12" customHeight="1" thickBot="1" x14ac:dyDescent="0.3">
      <c r="B121" s="9" t="s">
        <v>48</v>
      </c>
      <c r="C121" s="19"/>
      <c r="D121" s="19"/>
      <c r="E121" s="11"/>
      <c r="F121" s="5"/>
      <c r="G121" s="5"/>
      <c r="H121" s="2"/>
      <c r="J121" s="63"/>
    </row>
    <row r="122" spans="2:10" ht="12" customHeight="1" thickTop="1" x14ac:dyDescent="0.25">
      <c r="B122" s="8"/>
      <c r="C122" s="2"/>
      <c r="D122" s="2"/>
      <c r="E122" s="5"/>
      <c r="F122" s="5"/>
      <c r="G122" s="5"/>
      <c r="H122" s="2"/>
      <c r="J122" s="63"/>
    </row>
    <row r="123" spans="2:10" ht="12" customHeight="1" thickBot="1" x14ac:dyDescent="0.3">
      <c r="B123" s="9" t="s">
        <v>48</v>
      </c>
      <c r="C123" s="19"/>
      <c r="D123" s="19"/>
      <c r="E123" s="11"/>
      <c r="F123" s="5"/>
      <c r="G123" s="5"/>
      <c r="H123" s="2"/>
      <c r="J123" s="63"/>
    </row>
    <row r="124" spans="2:10" ht="12" customHeight="1" thickTop="1" x14ac:dyDescent="0.25">
      <c r="B124" s="8"/>
      <c r="C124" s="2"/>
      <c r="D124" s="2"/>
      <c r="E124" s="5"/>
      <c r="F124" s="5"/>
      <c r="G124" s="5"/>
      <c r="H124" s="2"/>
      <c r="J124" s="63"/>
    </row>
    <row r="125" spans="2:10" ht="12" customHeight="1" x14ac:dyDescent="0.25">
      <c r="B125" s="8"/>
      <c r="C125" s="5"/>
      <c r="D125" s="5"/>
      <c r="E125" s="5"/>
      <c r="F125" s="5"/>
      <c r="G125" s="5"/>
      <c r="H125" s="2"/>
      <c r="J125" s="63"/>
    </row>
    <row r="126" spans="2:10" ht="12" customHeight="1" x14ac:dyDescent="0.25">
      <c r="B126" s="12" t="s">
        <v>64</v>
      </c>
      <c r="C126" s="14">
        <v>91703581.129999995</v>
      </c>
      <c r="D126" s="14"/>
      <c r="E126" s="14">
        <v>91703581.129999995</v>
      </c>
      <c r="F126" s="14"/>
      <c r="G126" s="69">
        <f>SUM(E126-C126)</f>
        <v>0</v>
      </c>
      <c r="H126" s="16"/>
      <c r="J126" s="63"/>
    </row>
    <row r="127" spans="2:10" ht="12" customHeight="1" x14ac:dyDescent="0.25">
      <c r="B127" s="12"/>
      <c r="C127" s="14"/>
      <c r="D127" s="14"/>
      <c r="E127" s="14"/>
      <c r="F127" s="14"/>
      <c r="G127" s="14"/>
      <c r="H127" s="16"/>
      <c r="J127" s="63"/>
    </row>
    <row r="128" spans="2:10" ht="12" customHeight="1" x14ac:dyDescent="0.25">
      <c r="B128" s="12" t="s">
        <v>49</v>
      </c>
      <c r="C128" s="14">
        <v>-13179212.23</v>
      </c>
      <c r="D128" s="14"/>
      <c r="E128" s="14">
        <v>-13488456.609999999</v>
      </c>
      <c r="G128" s="5">
        <f>SUM(E128-C128)</f>
        <v>-309244.37999999896</v>
      </c>
      <c r="H128" s="16"/>
      <c r="J128" s="63"/>
    </row>
    <row r="129" spans="2:10" ht="12" customHeight="1" x14ac:dyDescent="0.25">
      <c r="B129" s="12"/>
      <c r="C129" s="14"/>
      <c r="D129" s="14"/>
      <c r="E129" s="14"/>
      <c r="F129" s="14"/>
      <c r="G129" s="14"/>
      <c r="H129" s="16"/>
      <c r="J129" s="63"/>
    </row>
    <row r="130" spans="2:10" ht="12" customHeight="1" x14ac:dyDescent="0.25">
      <c r="B130" s="8"/>
      <c r="C130" s="5"/>
      <c r="D130" s="17"/>
      <c r="E130" s="5"/>
      <c r="F130" s="17"/>
      <c r="G130" s="17"/>
      <c r="H130" s="2"/>
      <c r="J130" s="63"/>
    </row>
    <row r="131" spans="2:10" ht="12" customHeight="1" x14ac:dyDescent="0.25">
      <c r="B131" s="18" t="s">
        <v>50</v>
      </c>
      <c r="C131" s="11"/>
      <c r="D131" s="11">
        <f>SUM(C124:C128)</f>
        <v>78524368.899999991</v>
      </c>
      <c r="E131" s="11"/>
      <c r="F131" s="20">
        <f>SUM(E125:E128)</f>
        <v>78215124.519999996</v>
      </c>
      <c r="G131" s="5">
        <f>SUM(F131-D131)</f>
        <v>-309244.37999999523</v>
      </c>
      <c r="H131" s="2"/>
      <c r="J131" s="63"/>
    </row>
    <row r="132" spans="2:10" ht="12" customHeight="1" x14ac:dyDescent="0.25">
      <c r="B132" s="8"/>
      <c r="C132" s="5"/>
      <c r="D132" s="17"/>
      <c r="E132" s="5"/>
      <c r="F132" s="17"/>
      <c r="G132" s="5"/>
      <c r="H132" s="2"/>
      <c r="J132" s="63"/>
    </row>
    <row r="133" spans="2:10" ht="12" customHeight="1" x14ac:dyDescent="0.25">
      <c r="B133" s="18" t="s">
        <v>50</v>
      </c>
      <c r="C133" s="19"/>
      <c r="D133" s="11">
        <f>SUM(D131)</f>
        <v>78524368.899999991</v>
      </c>
      <c r="E133" s="11"/>
      <c r="F133" s="20">
        <f>SUM(F131)</f>
        <v>78215124.519999996</v>
      </c>
      <c r="G133" s="5">
        <f>SUM(F133-D133)</f>
        <v>-309244.37999999523</v>
      </c>
      <c r="H133" s="2"/>
      <c r="J133" s="63"/>
    </row>
    <row r="134" spans="2:10" ht="12" customHeight="1" x14ac:dyDescent="0.25">
      <c r="B134" s="8"/>
      <c r="C134" s="2"/>
      <c r="D134" s="2"/>
      <c r="E134" s="5"/>
      <c r="G134" s="5"/>
      <c r="H134" s="2"/>
      <c r="J134" s="63"/>
    </row>
    <row r="135" spans="2:10" ht="12" customHeight="1" x14ac:dyDescent="0.25">
      <c r="B135" s="8"/>
      <c r="C135" s="2"/>
      <c r="D135" s="2"/>
      <c r="E135" s="5"/>
      <c r="G135" s="5"/>
      <c r="H135" s="2"/>
      <c r="J135" s="63"/>
    </row>
    <row r="136" spans="2:10" ht="12" customHeight="1" x14ac:dyDescent="0.25">
      <c r="B136" s="39" t="s">
        <v>51</v>
      </c>
      <c r="C136" s="40">
        <v>-89043.81</v>
      </c>
      <c r="D136" s="41"/>
      <c r="E136" s="40">
        <v>-1505507.75</v>
      </c>
      <c r="F136" s="40"/>
      <c r="G136" s="40">
        <f>SUM(E136-C136)</f>
        <v>-1416463.94</v>
      </c>
      <c r="H136" s="42"/>
      <c r="J136" s="63"/>
    </row>
    <row r="137" spans="2:10" ht="12" customHeight="1" x14ac:dyDescent="0.25">
      <c r="B137" s="12"/>
      <c r="C137" s="13"/>
      <c r="D137" s="13"/>
      <c r="E137" s="14"/>
      <c r="F137" s="14"/>
      <c r="G137" s="14"/>
      <c r="H137" s="16"/>
    </row>
    <row r="138" spans="2:10" ht="12" customHeight="1" x14ac:dyDescent="0.25">
      <c r="B138" s="8"/>
      <c r="C138" s="2"/>
      <c r="D138" s="43"/>
      <c r="E138" s="5"/>
      <c r="F138" s="17"/>
      <c r="G138" s="17"/>
      <c r="H138" s="2"/>
    </row>
    <row r="139" spans="2:10" ht="12" customHeight="1" x14ac:dyDescent="0.25">
      <c r="B139" s="18" t="s">
        <v>52</v>
      </c>
      <c r="C139" s="19"/>
      <c r="D139" s="11">
        <f>SUM(D119+C136+D133)</f>
        <v>97283492.949999988</v>
      </c>
      <c r="E139" s="11"/>
      <c r="F139" s="20">
        <f>SUM(F133+F119+E136)</f>
        <v>95557784.629999995</v>
      </c>
      <c r="G139" s="5">
        <f>SUM(F139-D139)</f>
        <v>-1725708.3199999928</v>
      </c>
      <c r="H139" s="2"/>
    </row>
    <row r="140" spans="2:10" ht="12" customHeight="1" thickBot="1" x14ac:dyDescent="0.3">
      <c r="B140" s="8"/>
      <c r="C140" s="2"/>
      <c r="D140" s="32"/>
      <c r="E140" s="5"/>
      <c r="F140" s="33"/>
      <c r="G140" s="33"/>
      <c r="H140" s="2"/>
    </row>
    <row r="141" spans="2:10" ht="12" customHeight="1" thickTop="1" x14ac:dyDescent="0.25">
      <c r="B141" s="44" t="s">
        <v>53</v>
      </c>
      <c r="C141" s="45"/>
      <c r="D141" s="46">
        <f>SUM(D109+D139)</f>
        <v>102720202.78999999</v>
      </c>
      <c r="E141" s="46"/>
      <c r="F141" s="46">
        <f>SUM(F139+F109)</f>
        <v>101854129.42999999</v>
      </c>
      <c r="G141" s="46">
        <f>SUM(F141-D141)</f>
        <v>-866073.3599999994</v>
      </c>
      <c r="H141" s="4"/>
    </row>
    <row r="142" spans="2:10" ht="12" customHeight="1" x14ac:dyDescent="0.25">
      <c r="B142" s="47"/>
      <c r="E142" s="7"/>
      <c r="F142" s="7"/>
      <c r="G142" s="7"/>
    </row>
    <row r="143" spans="2:10" ht="12" customHeight="1" x14ac:dyDescent="0.25">
      <c r="B143" s="47"/>
    </row>
    <row r="144" spans="2:10" ht="12" customHeight="1" x14ac:dyDescent="0.25"/>
    <row r="145" spans="2:8" ht="12" customHeight="1" x14ac:dyDescent="0.25"/>
    <row r="146" spans="2:8" ht="12" customHeight="1" x14ac:dyDescent="0.25">
      <c r="B146" s="48" t="s">
        <v>54</v>
      </c>
      <c r="C146" s="48"/>
      <c r="D146" s="48" t="s">
        <v>55</v>
      </c>
      <c r="E146" s="48"/>
      <c r="F146" s="48" t="s">
        <v>56</v>
      </c>
      <c r="H146" s="48"/>
    </row>
    <row r="147" spans="2:8" ht="12" customHeight="1" x14ac:dyDescent="0.25">
      <c r="B147" s="48" t="s">
        <v>57</v>
      </c>
      <c r="C147" s="48"/>
      <c r="D147" s="48" t="s">
        <v>58</v>
      </c>
      <c r="E147" s="48"/>
      <c r="F147" s="48" t="s">
        <v>62</v>
      </c>
      <c r="H147" s="48"/>
    </row>
    <row r="148" spans="2:8" ht="12" customHeight="1" x14ac:dyDescent="0.25">
      <c r="B148" s="48" t="s">
        <v>59</v>
      </c>
      <c r="C148" s="48"/>
      <c r="D148" s="48" t="s">
        <v>60</v>
      </c>
      <c r="E148" s="48"/>
      <c r="F148" s="48" t="s">
        <v>61</v>
      </c>
      <c r="H148" s="48"/>
    </row>
    <row r="149" spans="2:8" x14ac:dyDescent="0.25">
      <c r="B149" s="48"/>
      <c r="C149" s="48"/>
      <c r="D149" s="48"/>
      <c r="E149" s="48"/>
      <c r="G149" s="48"/>
      <c r="H149" s="48"/>
    </row>
  </sheetData>
  <mergeCells count="4">
    <mergeCell ref="B2:H2"/>
    <mergeCell ref="B3:H3"/>
    <mergeCell ref="C5:D5"/>
    <mergeCell ref="E5:F5"/>
  </mergeCells>
  <pageMargins left="0.25" right="0.25" top="0.75" bottom="0.75" header="0.3" footer="0.3"/>
  <pageSetup scale="9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621-762D-48EF-9A90-4CD7E66656FB}">
  <dimension ref="B2:J85"/>
  <sheetViews>
    <sheetView topLeftCell="A34" zoomScaleNormal="100" workbookViewId="0">
      <selection activeCell="M31" sqref="M31"/>
    </sheetView>
  </sheetViews>
  <sheetFormatPr baseColWidth="10" defaultRowHeight="15" x14ac:dyDescent="0.25"/>
  <cols>
    <col min="1" max="1" width="2.5703125" customWidth="1"/>
    <col min="2" max="2" width="35.140625" customWidth="1"/>
    <col min="3" max="3" width="9.7109375" customWidth="1"/>
    <col min="4" max="9" width="15.7109375" customWidth="1"/>
    <col min="10" max="10" width="14.85546875" customWidth="1"/>
  </cols>
  <sheetData>
    <row r="2" spans="2:10" ht="59.25" customHeight="1" x14ac:dyDescent="0.25">
      <c r="B2" s="124" t="s">
        <v>0</v>
      </c>
      <c r="C2" s="124"/>
      <c r="D2" s="124"/>
      <c r="E2" s="124"/>
      <c r="F2" s="124"/>
      <c r="G2" s="124"/>
      <c r="H2" s="124"/>
      <c r="I2" s="124"/>
    </row>
    <row r="3" spans="2:10" ht="18" x14ac:dyDescent="0.25">
      <c r="B3" s="125" t="s">
        <v>65</v>
      </c>
      <c r="C3" s="125"/>
      <c r="D3" s="125"/>
      <c r="E3" s="125"/>
      <c r="F3" s="125"/>
      <c r="G3" s="125"/>
      <c r="H3" s="125"/>
      <c r="I3" s="125"/>
    </row>
    <row r="4" spans="2:10" ht="18" x14ac:dyDescent="0.25">
      <c r="B4" s="49"/>
      <c r="C4" s="49"/>
      <c r="D4" s="49"/>
      <c r="E4" s="49"/>
      <c r="F4" s="49"/>
      <c r="G4" s="49"/>
      <c r="H4" s="49"/>
      <c r="I4" s="49"/>
    </row>
    <row r="6" spans="2:10" ht="16.5" thickBot="1" x14ac:dyDescent="0.3">
      <c r="B6" s="2"/>
      <c r="C6" s="3"/>
      <c r="D6" s="3">
        <v>2024</v>
      </c>
      <c r="E6" s="3"/>
      <c r="F6" s="3">
        <v>2025</v>
      </c>
      <c r="G6" s="3"/>
      <c r="H6" s="3" t="s">
        <v>2</v>
      </c>
      <c r="I6" s="3"/>
    </row>
    <row r="7" spans="2:10" ht="15" customHeight="1" x14ac:dyDescent="0.25">
      <c r="B7" s="127" t="s">
        <v>3</v>
      </c>
      <c r="C7" s="127"/>
      <c r="D7" s="127"/>
      <c r="E7" s="127"/>
      <c r="F7" s="127"/>
      <c r="G7" s="127"/>
      <c r="H7" s="127"/>
      <c r="I7" s="2"/>
    </row>
    <row r="8" spans="2:10" ht="15" customHeight="1" x14ac:dyDescent="0.25">
      <c r="B8" s="2"/>
      <c r="C8" s="5"/>
      <c r="D8" s="5"/>
      <c r="E8" s="5"/>
      <c r="F8" s="5"/>
      <c r="G8" s="5"/>
      <c r="H8" s="5"/>
      <c r="I8" s="5"/>
    </row>
    <row r="9" spans="2:10" ht="15" customHeight="1" thickBot="1" x14ac:dyDescent="0.3">
      <c r="B9" s="9" t="s">
        <v>66</v>
      </c>
      <c r="C9" s="11"/>
      <c r="D9" s="5"/>
      <c r="E9" s="5"/>
      <c r="F9" s="5"/>
      <c r="G9" s="5"/>
      <c r="H9" s="5"/>
      <c r="I9" s="5"/>
    </row>
    <row r="10" spans="2:10" ht="15" customHeight="1" thickTop="1" thickBot="1" x14ac:dyDescent="0.3">
      <c r="B10" s="9" t="s">
        <v>67</v>
      </c>
      <c r="C10" s="11"/>
      <c r="D10" s="11"/>
      <c r="E10" s="11"/>
      <c r="F10" s="11"/>
      <c r="G10" s="11"/>
      <c r="H10" s="11"/>
      <c r="I10" s="5"/>
    </row>
    <row r="11" spans="2:10" ht="15" customHeight="1" thickTop="1" thickBot="1" x14ac:dyDescent="0.3">
      <c r="B11" s="50" t="s">
        <v>68</v>
      </c>
      <c r="C11" s="11"/>
      <c r="D11" s="11"/>
      <c r="E11" s="11"/>
      <c r="F11" s="11"/>
      <c r="G11" s="11"/>
      <c r="H11" s="11"/>
      <c r="I11" s="5"/>
    </row>
    <row r="12" spans="2:10" ht="15" customHeight="1" thickTop="1" x14ac:dyDescent="0.25">
      <c r="B12" s="8"/>
      <c r="C12" s="5"/>
      <c r="E12" s="5"/>
      <c r="F12" s="5"/>
      <c r="G12" s="5"/>
      <c r="H12" s="5"/>
      <c r="I12" s="5"/>
    </row>
    <row r="13" spans="2:10" ht="15" customHeight="1" x14ac:dyDescent="0.25">
      <c r="B13" s="12" t="s">
        <v>69</v>
      </c>
      <c r="C13" s="14"/>
      <c r="D13" s="5">
        <v>43379699.909999996</v>
      </c>
      <c r="E13" s="14"/>
      <c r="F13" s="14">
        <v>45623410.289999999</v>
      </c>
      <c r="G13" s="14"/>
      <c r="H13" s="14">
        <f>SUM(F13-D13)</f>
        <v>2243710.3800000027</v>
      </c>
      <c r="I13" s="51"/>
      <c r="J13" s="63"/>
    </row>
    <row r="14" spans="2:10" ht="15" customHeight="1" x14ac:dyDescent="0.25">
      <c r="B14" s="8"/>
      <c r="C14" s="5"/>
      <c r="D14" s="5"/>
      <c r="E14" s="5"/>
      <c r="F14" s="5"/>
      <c r="G14" s="5"/>
      <c r="H14" s="14"/>
      <c r="I14" s="5"/>
      <c r="J14" s="63"/>
    </row>
    <row r="15" spans="2:10" ht="15" customHeight="1" x14ac:dyDescent="0.25">
      <c r="B15" s="12" t="s">
        <v>70</v>
      </c>
      <c r="C15" s="14"/>
      <c r="D15" s="69">
        <v>0</v>
      </c>
      <c r="E15" s="14"/>
      <c r="F15" s="69">
        <v>0</v>
      </c>
      <c r="G15" s="14"/>
      <c r="H15" s="69">
        <f t="shared" ref="H15:H23" si="0">SUM(F15-D15)</f>
        <v>0</v>
      </c>
      <c r="I15" s="14"/>
      <c r="J15" s="63"/>
    </row>
    <row r="16" spans="2:10" ht="15" customHeight="1" x14ac:dyDescent="0.25">
      <c r="B16" s="8"/>
      <c r="C16" s="5"/>
      <c r="D16" s="5"/>
      <c r="E16" s="5"/>
      <c r="F16" s="5"/>
      <c r="G16" s="5"/>
      <c r="H16" s="14"/>
      <c r="I16" s="5"/>
      <c r="J16" s="63"/>
    </row>
    <row r="17" spans="2:10" ht="15" customHeight="1" x14ac:dyDescent="0.25">
      <c r="B17" s="12" t="s">
        <v>71</v>
      </c>
      <c r="C17" s="14"/>
      <c r="D17" s="14">
        <v>500141.27</v>
      </c>
      <c r="E17" s="14"/>
      <c r="F17" s="14">
        <v>36623.68</v>
      </c>
      <c r="G17" s="14"/>
      <c r="H17" s="14">
        <f t="shared" si="0"/>
        <v>-463517.59</v>
      </c>
      <c r="I17" s="14"/>
      <c r="J17" s="63"/>
    </row>
    <row r="18" spans="2:10" ht="15" customHeight="1" x14ac:dyDescent="0.25">
      <c r="B18" s="8"/>
      <c r="C18" s="5"/>
      <c r="D18" s="17"/>
      <c r="E18" s="5"/>
      <c r="F18" s="17"/>
      <c r="G18" s="17"/>
      <c r="H18" s="14"/>
      <c r="I18" s="5"/>
      <c r="J18" s="63"/>
    </row>
    <row r="19" spans="2:10" ht="15" customHeight="1" x14ac:dyDescent="0.25">
      <c r="B19" s="18" t="s">
        <v>72</v>
      </c>
      <c r="C19" s="11"/>
      <c r="D19" s="11">
        <f>SUM(D13:D18)</f>
        <v>43879841.18</v>
      </c>
      <c r="E19" s="11"/>
      <c r="F19" s="11">
        <f>SUM(F13:F18)</f>
        <v>45660033.969999999</v>
      </c>
      <c r="G19" s="11"/>
      <c r="H19" s="14">
        <f t="shared" si="0"/>
        <v>1780192.7899999991</v>
      </c>
      <c r="I19" s="11"/>
      <c r="J19" s="63"/>
    </row>
    <row r="20" spans="2:10" ht="15" customHeight="1" x14ac:dyDescent="0.25">
      <c r="B20" s="8"/>
      <c r="C20" s="5"/>
      <c r="D20" s="17"/>
      <c r="E20" s="5"/>
      <c r="F20" s="17"/>
      <c r="G20" s="17"/>
      <c r="H20" s="14"/>
      <c r="I20" s="5"/>
      <c r="J20" s="63"/>
    </row>
    <row r="21" spans="2:10" ht="15" customHeight="1" x14ac:dyDescent="0.25">
      <c r="B21" s="18" t="s">
        <v>73</v>
      </c>
      <c r="C21" s="11"/>
      <c r="D21" s="11">
        <f>SUM(D19)</f>
        <v>43879841.18</v>
      </c>
      <c r="E21" s="11"/>
      <c r="F21" s="11">
        <f>SUM(F19)</f>
        <v>45660033.969999999</v>
      </c>
      <c r="G21" s="11"/>
      <c r="H21" s="14">
        <f t="shared" si="0"/>
        <v>1780192.7899999991</v>
      </c>
      <c r="I21" s="11"/>
      <c r="J21" s="63"/>
    </row>
    <row r="22" spans="2:10" ht="15" customHeight="1" thickBot="1" x14ac:dyDescent="0.3">
      <c r="B22" s="8"/>
      <c r="C22" s="5"/>
      <c r="D22" s="33"/>
      <c r="E22" s="5"/>
      <c r="F22" s="33"/>
      <c r="G22" s="33"/>
      <c r="H22" s="14"/>
      <c r="I22" s="5"/>
      <c r="J22" s="63"/>
    </row>
    <row r="23" spans="2:10" ht="15" customHeight="1" thickTop="1" x14ac:dyDescent="0.25">
      <c r="B23" s="18" t="s">
        <v>74</v>
      </c>
      <c r="C23" s="11"/>
      <c r="D23" s="11">
        <f>SUM(D21)</f>
        <v>43879841.18</v>
      </c>
      <c r="E23" s="5"/>
      <c r="F23" s="20">
        <f>SUM(F21)</f>
        <v>45660033.969999999</v>
      </c>
      <c r="G23" s="20"/>
      <c r="H23" s="14">
        <f t="shared" si="0"/>
        <v>1780192.7899999991</v>
      </c>
      <c r="I23" s="5"/>
      <c r="J23" s="63"/>
    </row>
    <row r="24" spans="2:10" ht="15" customHeight="1" x14ac:dyDescent="0.25">
      <c r="B24" s="8"/>
      <c r="C24" s="5"/>
      <c r="D24" s="5"/>
      <c r="E24" s="5"/>
      <c r="F24" s="5"/>
      <c r="G24" s="5"/>
      <c r="H24" s="14"/>
      <c r="I24" s="5"/>
      <c r="J24" s="63"/>
    </row>
    <row r="25" spans="2:10" ht="15" customHeight="1" thickBot="1" x14ac:dyDescent="0.3">
      <c r="B25" s="6" t="s">
        <v>75</v>
      </c>
      <c r="C25" s="11"/>
      <c r="D25" s="11"/>
      <c r="E25" s="11"/>
      <c r="F25" s="11"/>
      <c r="G25" s="11"/>
      <c r="H25" s="14"/>
      <c r="I25" s="5"/>
      <c r="J25" s="63"/>
    </row>
    <row r="26" spans="2:10" ht="15" customHeight="1" thickTop="1" thickBot="1" x14ac:dyDescent="0.3">
      <c r="B26" s="50" t="s">
        <v>76</v>
      </c>
      <c r="C26" s="11"/>
      <c r="D26" s="11"/>
      <c r="E26" s="11"/>
      <c r="F26" s="11"/>
      <c r="G26" s="11"/>
      <c r="H26" s="14"/>
      <c r="I26" s="5"/>
      <c r="J26" s="63"/>
    </row>
    <row r="27" spans="2:10" ht="15" customHeight="1" thickTop="1" thickBot="1" x14ac:dyDescent="0.3">
      <c r="B27" s="50" t="s">
        <v>76</v>
      </c>
      <c r="C27" s="11"/>
      <c r="D27" s="11"/>
      <c r="E27" s="11"/>
      <c r="F27" s="11"/>
      <c r="G27" s="11"/>
      <c r="H27" s="14"/>
      <c r="I27" s="5"/>
      <c r="J27" s="63"/>
    </row>
    <row r="28" spans="2:10" ht="15" customHeight="1" thickTop="1" x14ac:dyDescent="0.25">
      <c r="B28" s="8"/>
      <c r="C28" s="5"/>
      <c r="D28" s="5"/>
      <c r="E28" s="5"/>
      <c r="F28" s="5"/>
      <c r="G28" s="5"/>
      <c r="H28" s="14"/>
      <c r="I28" s="5"/>
      <c r="J28" s="63"/>
    </row>
    <row r="29" spans="2:10" ht="15" customHeight="1" x14ac:dyDescent="0.25">
      <c r="B29" s="12" t="s">
        <v>77</v>
      </c>
      <c r="C29" s="14"/>
      <c r="D29" s="14">
        <v>11022208.82</v>
      </c>
      <c r="E29" s="14"/>
      <c r="F29" s="14">
        <v>12333506.93</v>
      </c>
      <c r="G29" s="14"/>
      <c r="H29" s="14">
        <f>SUM(F29-D29)</f>
        <v>1311298.1099999994</v>
      </c>
      <c r="I29" s="14"/>
      <c r="J29" s="63"/>
    </row>
    <row r="30" spans="2:10" ht="15" customHeight="1" x14ac:dyDescent="0.25">
      <c r="B30" s="8"/>
      <c r="C30" s="5"/>
      <c r="D30" s="5"/>
      <c r="E30" s="5"/>
      <c r="F30" s="5"/>
      <c r="G30" s="5"/>
      <c r="H30" s="14"/>
      <c r="I30" s="5"/>
      <c r="J30" s="63"/>
    </row>
    <row r="31" spans="2:10" ht="15" customHeight="1" x14ac:dyDescent="0.25">
      <c r="B31" s="12" t="s">
        <v>78</v>
      </c>
      <c r="C31" s="14"/>
      <c r="D31" s="14">
        <v>1829815.55</v>
      </c>
      <c r="E31" s="14"/>
      <c r="F31" s="14">
        <v>1974955.82</v>
      </c>
      <c r="G31" s="14"/>
      <c r="H31" s="14">
        <f t="shared" ref="H31:H53" si="1">SUM(F31-D31)</f>
        <v>145140.27000000002</v>
      </c>
      <c r="I31" s="14"/>
      <c r="J31" s="63"/>
    </row>
    <row r="32" spans="2:10" ht="15" customHeight="1" x14ac:dyDescent="0.25">
      <c r="B32" s="8"/>
      <c r="C32" s="5"/>
      <c r="D32" s="5"/>
      <c r="E32" s="5"/>
      <c r="F32" s="5"/>
      <c r="G32" s="5"/>
      <c r="H32" s="14"/>
      <c r="I32" s="5"/>
      <c r="J32" s="63"/>
    </row>
    <row r="33" spans="2:10" ht="15" customHeight="1" x14ac:dyDescent="0.25">
      <c r="B33" s="12" t="s">
        <v>79</v>
      </c>
      <c r="C33" s="14"/>
      <c r="D33" s="71">
        <v>14862690.52</v>
      </c>
      <c r="E33" s="14"/>
      <c r="F33" s="14">
        <v>14193342.109999999</v>
      </c>
      <c r="G33" s="14"/>
      <c r="H33" s="14">
        <f t="shared" si="1"/>
        <v>-669348.41000000015</v>
      </c>
      <c r="I33" s="14"/>
      <c r="J33" s="63"/>
    </row>
    <row r="34" spans="2:10" ht="15" customHeight="1" x14ac:dyDescent="0.25">
      <c r="B34" s="8"/>
      <c r="C34" s="5"/>
      <c r="D34" s="5"/>
      <c r="E34" s="5"/>
      <c r="F34" s="5"/>
      <c r="G34" s="5"/>
      <c r="H34" s="14"/>
      <c r="I34" s="5"/>
      <c r="J34" s="63"/>
    </row>
    <row r="35" spans="2:10" ht="15" customHeight="1" x14ac:dyDescent="0.25">
      <c r="B35" s="12" t="s">
        <v>80</v>
      </c>
      <c r="C35" s="14"/>
      <c r="D35" s="14">
        <v>359612.2</v>
      </c>
      <c r="E35" s="14"/>
      <c r="F35" s="14">
        <v>353949.78</v>
      </c>
      <c r="G35" s="14"/>
      <c r="H35" s="14">
        <f t="shared" si="1"/>
        <v>-5662.4199999999837</v>
      </c>
      <c r="I35" s="14"/>
      <c r="J35" s="63"/>
    </row>
    <row r="36" spans="2:10" ht="15" customHeight="1" x14ac:dyDescent="0.25">
      <c r="B36" s="8"/>
      <c r="C36" s="5"/>
      <c r="D36" s="5"/>
      <c r="E36" s="5"/>
      <c r="F36" s="5"/>
      <c r="G36" s="5"/>
      <c r="H36" s="14"/>
      <c r="I36" s="5"/>
      <c r="J36" s="63"/>
    </row>
    <row r="37" spans="2:10" ht="15" customHeight="1" x14ac:dyDescent="0.25">
      <c r="B37" s="12" t="s">
        <v>81</v>
      </c>
      <c r="C37" s="14"/>
      <c r="D37" s="14">
        <v>0</v>
      </c>
      <c r="E37" s="14"/>
      <c r="F37" s="69">
        <v>0</v>
      </c>
      <c r="G37" s="14"/>
      <c r="H37" s="14">
        <f t="shared" si="1"/>
        <v>0</v>
      </c>
      <c r="I37" s="14"/>
      <c r="J37" s="63"/>
    </row>
    <row r="38" spans="2:10" ht="15" customHeight="1" x14ac:dyDescent="0.25">
      <c r="B38" s="8"/>
      <c r="C38" s="5"/>
      <c r="D38" s="5"/>
      <c r="E38" s="5"/>
      <c r="F38" s="5"/>
      <c r="G38" s="5"/>
      <c r="H38" s="14"/>
      <c r="I38" s="5"/>
      <c r="J38" s="63"/>
    </row>
    <row r="39" spans="2:10" ht="15" customHeight="1" x14ac:dyDescent="0.25">
      <c r="B39" s="12" t="s">
        <v>82</v>
      </c>
      <c r="C39" s="14"/>
      <c r="D39" s="14">
        <v>79263.02</v>
      </c>
      <c r="E39" s="14"/>
      <c r="F39" s="14">
        <v>0</v>
      </c>
      <c r="G39" s="14"/>
      <c r="H39" s="14">
        <f t="shared" si="1"/>
        <v>-79263.02</v>
      </c>
      <c r="I39" s="14"/>
      <c r="J39" s="63"/>
    </row>
    <row r="40" spans="2:10" ht="15" customHeight="1" x14ac:dyDescent="0.25">
      <c r="B40" s="12"/>
      <c r="C40" s="14"/>
      <c r="D40" s="14"/>
      <c r="E40" s="14"/>
      <c r="F40" s="14"/>
      <c r="G40" s="14"/>
      <c r="H40" s="14"/>
      <c r="I40" s="14"/>
      <c r="J40" s="63"/>
    </row>
    <row r="41" spans="2:10" ht="15" customHeight="1" x14ac:dyDescent="0.25">
      <c r="B41" s="12" t="s">
        <v>234</v>
      </c>
      <c r="C41" s="14"/>
      <c r="D41" s="105">
        <v>4296.5</v>
      </c>
      <c r="E41" s="14"/>
      <c r="F41" s="14">
        <v>0</v>
      </c>
      <c r="G41" s="14"/>
      <c r="H41" s="14">
        <v>4296.5</v>
      </c>
      <c r="I41" s="14"/>
      <c r="J41" s="63"/>
    </row>
    <row r="42" spans="2:10" ht="15" customHeight="1" x14ac:dyDescent="0.25">
      <c r="B42" s="8"/>
      <c r="C42" s="5"/>
      <c r="D42" s="5"/>
      <c r="E42" s="5"/>
      <c r="F42" s="5"/>
      <c r="G42" s="5"/>
      <c r="H42" s="14"/>
      <c r="I42" s="5"/>
      <c r="J42" s="63"/>
    </row>
    <row r="43" spans="2:10" ht="15" customHeight="1" x14ac:dyDescent="0.25">
      <c r="B43" s="12" t="s">
        <v>83</v>
      </c>
      <c r="C43" s="5"/>
      <c r="D43" s="5">
        <v>1213333.25</v>
      </c>
      <c r="E43" s="5"/>
      <c r="F43" s="14">
        <v>1559515.13</v>
      </c>
      <c r="G43" s="14"/>
      <c r="H43" s="14">
        <f t="shared" si="1"/>
        <v>346181.87999999989</v>
      </c>
      <c r="I43" s="5"/>
      <c r="J43" s="63"/>
    </row>
    <row r="44" spans="2:10" ht="15" customHeight="1" x14ac:dyDescent="0.25">
      <c r="B44" s="8"/>
      <c r="C44" s="5"/>
      <c r="D44" s="5"/>
      <c r="E44" s="5"/>
      <c r="F44" s="5"/>
      <c r="G44" s="5"/>
      <c r="H44" s="14"/>
      <c r="I44" s="5"/>
      <c r="J44" s="63"/>
    </row>
    <row r="45" spans="2:10" ht="15" customHeight="1" x14ac:dyDescent="0.25">
      <c r="B45" s="12" t="s">
        <v>84</v>
      </c>
      <c r="C45" s="14"/>
      <c r="D45" s="14">
        <v>0</v>
      </c>
      <c r="E45" s="14"/>
      <c r="F45" s="105">
        <v>1318678.3</v>
      </c>
      <c r="G45" s="14"/>
      <c r="H45" s="14">
        <f t="shared" si="1"/>
        <v>1318678.3</v>
      </c>
      <c r="I45" s="14"/>
      <c r="J45" s="63"/>
    </row>
    <row r="46" spans="2:10" ht="15" customHeight="1" x14ac:dyDescent="0.25">
      <c r="B46" s="8"/>
      <c r="C46" s="5"/>
      <c r="D46" s="5"/>
      <c r="E46" s="5"/>
      <c r="F46" s="5"/>
      <c r="G46" s="5"/>
      <c r="H46" s="14"/>
      <c r="I46" s="5"/>
      <c r="J46" s="63"/>
    </row>
    <row r="47" spans="2:10" ht="15" customHeight="1" x14ac:dyDescent="0.25">
      <c r="B47" s="12" t="s">
        <v>85</v>
      </c>
      <c r="C47" s="14"/>
      <c r="D47" s="14">
        <v>302294.8</v>
      </c>
      <c r="E47" s="14"/>
      <c r="F47" s="7">
        <v>328400.86</v>
      </c>
      <c r="G47" s="7"/>
      <c r="H47" s="14">
        <f t="shared" si="1"/>
        <v>26106.059999999998</v>
      </c>
      <c r="I47" s="14"/>
      <c r="J47" s="63"/>
    </row>
    <row r="48" spans="2:10" ht="15" customHeight="1" x14ac:dyDescent="0.25">
      <c r="B48" s="8"/>
      <c r="C48" s="5"/>
      <c r="D48" s="5"/>
      <c r="E48" s="5"/>
      <c r="H48" s="14"/>
      <c r="I48" s="5"/>
      <c r="J48" s="63"/>
    </row>
    <row r="49" spans="2:10" ht="15" customHeight="1" x14ac:dyDescent="0.25">
      <c r="B49" s="12" t="s">
        <v>86</v>
      </c>
      <c r="C49" s="14"/>
      <c r="D49" s="14">
        <v>47308.160000000003</v>
      </c>
      <c r="E49" s="14"/>
      <c r="F49" s="5">
        <v>33099.99</v>
      </c>
      <c r="G49" s="5"/>
      <c r="H49" s="14">
        <f t="shared" si="1"/>
        <v>-14208.170000000006</v>
      </c>
      <c r="I49" s="14"/>
      <c r="J49" s="63"/>
    </row>
    <row r="50" spans="2:10" ht="15" customHeight="1" x14ac:dyDescent="0.25">
      <c r="B50" s="8"/>
      <c r="C50" s="5"/>
      <c r="D50" s="17"/>
      <c r="E50" s="5"/>
      <c r="F50" s="52"/>
      <c r="G50" s="52"/>
      <c r="H50" s="14"/>
      <c r="I50" s="5"/>
      <c r="J50" s="63"/>
    </row>
    <row r="51" spans="2:10" ht="15" customHeight="1" x14ac:dyDescent="0.25">
      <c r="B51" s="18" t="s">
        <v>87</v>
      </c>
      <c r="C51" s="11"/>
      <c r="D51" s="11">
        <f>SUM(D29:D50)</f>
        <v>29720822.82</v>
      </c>
      <c r="E51" s="11"/>
      <c r="F51" s="11">
        <f>SUM(F29:F50)</f>
        <v>32095448.919999998</v>
      </c>
      <c r="G51" s="11"/>
      <c r="H51" s="14">
        <f t="shared" si="1"/>
        <v>2374626.0999999978</v>
      </c>
      <c r="I51" s="5"/>
      <c r="J51" s="63"/>
    </row>
    <row r="52" spans="2:10" ht="15" customHeight="1" x14ac:dyDescent="0.25">
      <c r="B52" s="8"/>
      <c r="C52" s="5"/>
      <c r="D52" s="17"/>
      <c r="E52" s="5"/>
      <c r="F52" s="17"/>
      <c r="G52" s="17"/>
      <c r="H52" s="14"/>
      <c r="I52" s="5"/>
      <c r="J52" s="63"/>
    </row>
    <row r="53" spans="2:10" ht="15" customHeight="1" x14ac:dyDescent="0.25">
      <c r="B53" s="18" t="s">
        <v>87</v>
      </c>
      <c r="C53" s="11"/>
      <c r="D53" s="11">
        <f>SUM(D51)</f>
        <v>29720822.82</v>
      </c>
      <c r="E53" s="11"/>
      <c r="F53" s="11">
        <f>SUM(F51)</f>
        <v>32095448.919999998</v>
      </c>
      <c r="G53" s="11"/>
      <c r="H53" s="14">
        <f t="shared" si="1"/>
        <v>2374626.0999999978</v>
      </c>
      <c r="I53" s="5"/>
      <c r="J53" s="63"/>
    </row>
    <row r="54" spans="2:10" ht="15" customHeight="1" x14ac:dyDescent="0.25">
      <c r="B54" s="8"/>
      <c r="C54" s="5"/>
      <c r="D54" s="5"/>
      <c r="E54" s="5"/>
      <c r="F54" s="5"/>
      <c r="G54" s="5"/>
      <c r="H54" s="14"/>
      <c r="I54" s="5"/>
    </row>
    <row r="55" spans="2:10" ht="15" customHeight="1" thickBot="1" x14ac:dyDescent="0.3">
      <c r="B55" s="9" t="s">
        <v>88</v>
      </c>
      <c r="C55" s="11"/>
      <c r="D55" s="11"/>
      <c r="E55" s="11"/>
      <c r="F55" s="11"/>
      <c r="G55" s="11"/>
      <c r="H55" s="14"/>
      <c r="I55" s="5"/>
    </row>
    <row r="56" spans="2:10" ht="15" customHeight="1" thickTop="1" thickBot="1" x14ac:dyDescent="0.3">
      <c r="B56" s="50" t="s">
        <v>88</v>
      </c>
      <c r="C56" s="11"/>
      <c r="D56" s="11"/>
      <c r="E56" s="11"/>
      <c r="F56" s="11"/>
      <c r="G56" s="11"/>
      <c r="H56" s="14"/>
      <c r="I56" s="5"/>
    </row>
    <row r="57" spans="2:10" ht="15" customHeight="1" thickTop="1" x14ac:dyDescent="0.25">
      <c r="B57" s="8"/>
      <c r="C57" s="5"/>
      <c r="D57" s="5"/>
      <c r="E57" s="5"/>
      <c r="F57" s="5"/>
      <c r="G57" s="5"/>
      <c r="H57" s="14"/>
      <c r="I57" s="5"/>
    </row>
    <row r="58" spans="2:10" ht="15" customHeight="1" x14ac:dyDescent="0.25">
      <c r="B58" s="12" t="s">
        <v>89</v>
      </c>
      <c r="C58" s="14"/>
      <c r="D58" s="14">
        <v>212295.91</v>
      </c>
      <c r="E58" s="14"/>
      <c r="F58" s="14">
        <v>288424.15999999997</v>
      </c>
      <c r="G58" s="14"/>
      <c r="H58" s="14">
        <f>SUM(F58-D58)</f>
        <v>76128.249999999971</v>
      </c>
      <c r="I58" s="14"/>
    </row>
    <row r="59" spans="2:10" ht="15" customHeight="1" x14ac:dyDescent="0.25">
      <c r="B59" s="8"/>
      <c r="C59" s="5"/>
      <c r="D59" s="5"/>
      <c r="E59" s="5"/>
      <c r="F59" s="5"/>
      <c r="G59" s="5"/>
      <c r="H59" s="14"/>
      <c r="I59" s="5"/>
    </row>
    <row r="60" spans="2:10" ht="15" customHeight="1" x14ac:dyDescent="0.25">
      <c r="B60" s="12" t="s">
        <v>90</v>
      </c>
      <c r="C60" s="14"/>
      <c r="D60" s="14">
        <v>154196.04</v>
      </c>
      <c r="E60" s="14"/>
      <c r="F60" s="14">
        <v>158127.47</v>
      </c>
      <c r="G60" s="14"/>
      <c r="H60" s="14">
        <f t="shared" ref="H60:H68" si="2">SUM(F60-D60)</f>
        <v>3931.429999999993</v>
      </c>
      <c r="I60" s="14"/>
    </row>
    <row r="61" spans="2:10" ht="15" customHeight="1" x14ac:dyDescent="0.25">
      <c r="B61" s="8"/>
      <c r="C61" s="5"/>
      <c r="D61" s="5"/>
      <c r="E61" s="5"/>
      <c r="F61" s="5"/>
      <c r="G61" s="5"/>
      <c r="H61" s="14"/>
      <c r="I61" s="5"/>
    </row>
    <row r="62" spans="2:10" ht="15" customHeight="1" x14ac:dyDescent="0.25">
      <c r="B62" s="12" t="s">
        <v>91</v>
      </c>
      <c r="C62" s="14"/>
      <c r="D62" s="14">
        <v>1891946.38</v>
      </c>
      <c r="E62" s="14"/>
      <c r="F62" s="14">
        <v>2054855.73</v>
      </c>
      <c r="G62" s="14"/>
      <c r="H62" s="14">
        <f t="shared" si="2"/>
        <v>162909.35000000009</v>
      </c>
      <c r="I62" s="14"/>
    </row>
    <row r="63" spans="2:10" ht="15" customHeight="1" x14ac:dyDescent="0.25">
      <c r="B63" s="8"/>
      <c r="C63" s="5"/>
      <c r="D63" s="5"/>
      <c r="E63" s="5"/>
      <c r="F63" s="5"/>
      <c r="G63" s="5"/>
      <c r="H63" s="14"/>
      <c r="I63" s="5"/>
    </row>
    <row r="64" spans="2:10" ht="15" customHeight="1" x14ac:dyDescent="0.25">
      <c r="B64" s="12" t="s">
        <v>92</v>
      </c>
      <c r="C64" s="14"/>
      <c r="D64" s="14">
        <v>5769039.3200000003</v>
      </c>
      <c r="E64" s="14"/>
      <c r="F64" s="14">
        <v>5882213.6600000001</v>
      </c>
      <c r="G64" s="14"/>
      <c r="H64" s="14">
        <f t="shared" si="2"/>
        <v>113174.33999999985</v>
      </c>
      <c r="I64" s="14"/>
    </row>
    <row r="65" spans="2:9" ht="15" customHeight="1" x14ac:dyDescent="0.25">
      <c r="B65" s="8"/>
      <c r="C65" s="5"/>
      <c r="D65" s="5"/>
      <c r="E65" s="5"/>
      <c r="F65" s="5"/>
      <c r="G65" s="5"/>
      <c r="H65" s="14"/>
      <c r="I65" s="5"/>
    </row>
    <row r="66" spans="2:9" ht="15" customHeight="1" x14ac:dyDescent="0.25">
      <c r="B66" s="12" t="s">
        <v>93</v>
      </c>
      <c r="C66" s="14"/>
      <c r="D66" s="14">
        <v>6198019.29</v>
      </c>
      <c r="E66" s="14"/>
      <c r="F66" s="14">
        <v>6595208.2699999996</v>
      </c>
      <c r="G66" s="14"/>
      <c r="H66" s="14">
        <f t="shared" si="2"/>
        <v>397188.97999999952</v>
      </c>
      <c r="I66" s="14"/>
    </row>
    <row r="67" spans="2:9" ht="15" customHeight="1" x14ac:dyDescent="0.25">
      <c r="B67" s="12"/>
      <c r="C67" s="14"/>
      <c r="D67" s="14"/>
      <c r="E67" s="14"/>
      <c r="F67" s="14"/>
      <c r="G67" s="14"/>
      <c r="H67" s="14"/>
      <c r="I67" s="14"/>
    </row>
    <row r="68" spans="2:9" ht="15" customHeight="1" x14ac:dyDescent="0.25">
      <c r="B68" s="12" t="s">
        <v>94</v>
      </c>
      <c r="C68" s="14"/>
      <c r="D68" s="14">
        <v>22565.23</v>
      </c>
      <c r="E68" s="14"/>
      <c r="F68" s="14">
        <v>91263.51</v>
      </c>
      <c r="G68" s="14"/>
      <c r="H68" s="14">
        <f t="shared" si="2"/>
        <v>68698.28</v>
      </c>
      <c r="I68" s="14"/>
    </row>
    <row r="69" spans="2:9" ht="15" customHeight="1" x14ac:dyDescent="0.25">
      <c r="B69" s="8"/>
      <c r="C69" s="5"/>
      <c r="D69" s="17"/>
      <c r="E69" s="5"/>
      <c r="F69" s="17"/>
      <c r="G69" s="17"/>
      <c r="H69" s="30"/>
      <c r="I69" s="5"/>
    </row>
    <row r="70" spans="2:9" ht="15" customHeight="1" x14ac:dyDescent="0.25">
      <c r="B70" s="18" t="s">
        <v>95</v>
      </c>
      <c r="C70" s="11"/>
      <c r="D70" s="11">
        <f>SUM(D57:D69)</f>
        <v>14248062.170000002</v>
      </c>
      <c r="E70" s="11"/>
      <c r="F70" s="11">
        <f>SUM(F57:F69)</f>
        <v>15070092.799999999</v>
      </c>
      <c r="G70" s="11"/>
      <c r="H70" s="11">
        <f>SUM(F70-D70)</f>
        <v>822030.62999999709</v>
      </c>
      <c r="I70" s="5"/>
    </row>
    <row r="71" spans="2:9" ht="15" customHeight="1" x14ac:dyDescent="0.25">
      <c r="B71" s="8"/>
      <c r="C71" s="5"/>
      <c r="D71" s="17"/>
      <c r="E71" s="5"/>
      <c r="F71" s="17"/>
      <c r="G71" s="17"/>
      <c r="H71" s="53"/>
      <c r="I71" s="5"/>
    </row>
    <row r="72" spans="2:9" ht="15" customHeight="1" x14ac:dyDescent="0.25">
      <c r="B72" s="18" t="s">
        <v>95</v>
      </c>
      <c r="C72" s="11"/>
      <c r="D72" s="11">
        <f>SUM(D70)</f>
        <v>14248062.170000002</v>
      </c>
      <c r="E72" s="11"/>
      <c r="F72" s="11">
        <f>SUM(F70)</f>
        <v>15070092.799999999</v>
      </c>
      <c r="G72" s="11"/>
      <c r="H72" s="11">
        <f t="shared" ref="H72:H74" si="3">SUM(F72-D72)</f>
        <v>822030.62999999709</v>
      </c>
      <c r="I72" s="5"/>
    </row>
    <row r="73" spans="2:9" ht="15" customHeight="1" thickBot="1" x14ac:dyDescent="0.3">
      <c r="B73" s="8"/>
      <c r="C73" s="5"/>
      <c r="D73" s="33"/>
      <c r="E73" s="5"/>
      <c r="F73" s="33"/>
      <c r="G73" s="33"/>
      <c r="H73" s="54"/>
      <c r="I73" s="5"/>
    </row>
    <row r="74" spans="2:9" ht="15" customHeight="1" thickTop="1" x14ac:dyDescent="0.25">
      <c r="B74" s="18" t="s">
        <v>96</v>
      </c>
      <c r="C74" s="11"/>
      <c r="D74" s="11">
        <f>SUM(D72+D51)</f>
        <v>43968884.990000002</v>
      </c>
      <c r="E74" s="11"/>
      <c r="F74" s="11">
        <f>SUM(F53+F72)</f>
        <v>47165541.719999999</v>
      </c>
      <c r="G74" s="11"/>
      <c r="H74" s="11">
        <f t="shared" si="3"/>
        <v>3196656.7299999967</v>
      </c>
      <c r="I74" s="5"/>
    </row>
    <row r="75" spans="2:9" ht="15" customHeight="1" thickBot="1" x14ac:dyDescent="0.3">
      <c r="B75" s="8"/>
      <c r="C75" s="5"/>
      <c r="D75" s="33"/>
      <c r="E75" s="5"/>
      <c r="F75" s="33"/>
      <c r="G75" s="33"/>
      <c r="H75" s="54"/>
      <c r="I75" s="5"/>
    </row>
    <row r="76" spans="2:9" ht="15" customHeight="1" thickTop="1" x14ac:dyDescent="0.25">
      <c r="B76" s="12" t="s">
        <v>97</v>
      </c>
      <c r="C76" s="14"/>
      <c r="D76" s="11">
        <f>SUM(D23-D74)</f>
        <v>-89043.810000002384</v>
      </c>
      <c r="E76" s="14"/>
      <c r="F76" s="11">
        <f>SUM(F23-F74)</f>
        <v>-1505507.75</v>
      </c>
      <c r="G76" s="11"/>
      <c r="H76" s="11">
        <f>SUM(F76+D76)</f>
        <v>-1594551.5600000024</v>
      </c>
      <c r="I76" s="14"/>
    </row>
    <row r="77" spans="2:9" ht="15" customHeight="1" x14ac:dyDescent="0.25">
      <c r="B77" s="12"/>
      <c r="C77" s="14"/>
      <c r="D77" s="14"/>
      <c r="E77" s="14"/>
      <c r="F77" s="14"/>
      <c r="G77" s="14"/>
      <c r="H77" s="14"/>
      <c r="I77" s="14"/>
    </row>
    <row r="78" spans="2:9" ht="15" customHeight="1" x14ac:dyDescent="0.25">
      <c r="C78" s="7"/>
      <c r="D78" s="7"/>
      <c r="E78" s="7"/>
      <c r="F78" s="7"/>
      <c r="G78" s="7"/>
      <c r="H78" s="7"/>
      <c r="I78" s="7"/>
    </row>
    <row r="79" spans="2:9" ht="15" customHeight="1" x14ac:dyDescent="0.25"/>
    <row r="80" spans="2:9" ht="15" customHeight="1" x14ac:dyDescent="0.25"/>
    <row r="81" spans="2:9" ht="15" customHeight="1" x14ac:dyDescent="0.25"/>
    <row r="82" spans="2:9" ht="15" customHeight="1" x14ac:dyDescent="0.25">
      <c r="B82" s="48" t="s">
        <v>54</v>
      </c>
      <c r="C82" s="48"/>
      <c r="D82" s="48" t="s">
        <v>55</v>
      </c>
      <c r="E82" s="48"/>
      <c r="F82" s="48"/>
      <c r="G82" s="48"/>
      <c r="H82" s="48" t="s">
        <v>56</v>
      </c>
    </row>
    <row r="83" spans="2:9" ht="15" customHeight="1" x14ac:dyDescent="0.25">
      <c r="B83" s="48" t="s">
        <v>57</v>
      </c>
      <c r="C83" s="48"/>
      <c r="D83" s="48" t="s">
        <v>58</v>
      </c>
      <c r="E83" s="48"/>
      <c r="F83" s="48"/>
      <c r="G83" s="48"/>
      <c r="H83" s="48" t="s">
        <v>98</v>
      </c>
    </row>
    <row r="84" spans="2:9" ht="15" customHeight="1" x14ac:dyDescent="0.25">
      <c r="B84" s="48" t="s">
        <v>59</v>
      </c>
      <c r="C84" s="48"/>
      <c r="D84" s="48" t="s">
        <v>60</v>
      </c>
      <c r="E84" s="48"/>
      <c r="F84" s="48"/>
      <c r="G84" s="48"/>
      <c r="H84" s="48" t="s">
        <v>61</v>
      </c>
    </row>
    <row r="85" spans="2:9" ht="15" customHeight="1" x14ac:dyDescent="0.25">
      <c r="B85" s="48"/>
      <c r="C85" s="48"/>
      <c r="D85" s="48"/>
      <c r="E85" s="48"/>
      <c r="F85" s="48"/>
      <c r="G85" s="48"/>
      <c r="I85" s="48"/>
    </row>
  </sheetData>
  <mergeCells count="3">
    <mergeCell ref="B2:I2"/>
    <mergeCell ref="B3:I3"/>
    <mergeCell ref="B7:H7"/>
  </mergeCells>
  <pageMargins left="0.25" right="0.25" top="0.75" bottom="0.75" header="0.3" footer="0.3"/>
  <pageSetup scale="9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7060-27A4-4C32-A570-17ADAB7F9882}">
  <dimension ref="A2:O347"/>
  <sheetViews>
    <sheetView topLeftCell="A103" zoomScaleNormal="100" workbookViewId="0">
      <selection activeCell="J116" sqref="J116"/>
    </sheetView>
  </sheetViews>
  <sheetFormatPr baseColWidth="10" defaultRowHeight="15" x14ac:dyDescent="0.25"/>
  <cols>
    <col min="1" max="1" width="2" customWidth="1"/>
    <col min="2" max="2" width="30.42578125" customWidth="1"/>
    <col min="3" max="3" width="18" customWidth="1"/>
    <col min="4" max="4" width="20.140625" customWidth="1"/>
    <col min="5" max="8" width="20.7109375" customWidth="1"/>
    <col min="9" max="9" width="17.28515625" customWidth="1"/>
    <col min="10" max="10" width="19.7109375" customWidth="1"/>
  </cols>
  <sheetData>
    <row r="2" spans="1:10" ht="34.5" x14ac:dyDescent="0.55000000000000004">
      <c r="A2" s="130" t="s">
        <v>99</v>
      </c>
      <c r="B2" s="130"/>
      <c r="C2" s="130"/>
      <c r="D2" s="130"/>
      <c r="E2" s="130"/>
      <c r="F2" s="130"/>
      <c r="G2" s="130"/>
      <c r="H2" s="130"/>
    </row>
    <row r="3" spans="1:10" ht="18.75" x14ac:dyDescent="0.3">
      <c r="A3" s="131" t="s">
        <v>100</v>
      </c>
      <c r="B3" s="131"/>
      <c r="C3" s="131"/>
      <c r="D3" s="131"/>
      <c r="E3" s="131"/>
      <c r="F3" s="131"/>
      <c r="G3" s="131"/>
      <c r="H3" s="131"/>
    </row>
    <row r="4" spans="1:10" ht="18.75" x14ac:dyDescent="0.3">
      <c r="A4" s="131" t="s">
        <v>101</v>
      </c>
      <c r="B4" s="131"/>
      <c r="C4" s="131"/>
      <c r="D4" s="131"/>
      <c r="E4" s="131"/>
      <c r="F4" s="131"/>
      <c r="G4" s="131"/>
      <c r="H4" s="131"/>
    </row>
    <row r="5" spans="1:10" ht="23.25" x14ac:dyDescent="0.35">
      <c r="A5" s="132" t="s">
        <v>257</v>
      </c>
      <c r="B5" s="132"/>
      <c r="C5" s="132"/>
      <c r="D5" s="132"/>
      <c r="E5" s="132"/>
      <c r="F5" s="132"/>
      <c r="G5" s="132"/>
      <c r="H5" s="132"/>
    </row>
    <row r="7" spans="1:10" x14ac:dyDescent="0.25">
      <c r="C7" s="133" t="s">
        <v>255</v>
      </c>
      <c r="D7" s="133"/>
      <c r="E7" s="133" t="s">
        <v>256</v>
      </c>
      <c r="F7" s="133"/>
      <c r="G7" s="133" t="s">
        <v>258</v>
      </c>
      <c r="H7" s="133"/>
    </row>
    <row r="8" spans="1:10" x14ac:dyDescent="0.25">
      <c r="C8" s="55" t="s">
        <v>102</v>
      </c>
      <c r="D8" s="55" t="s">
        <v>103</v>
      </c>
      <c r="E8" s="55" t="s">
        <v>102</v>
      </c>
      <c r="F8" s="55" t="s">
        <v>103</v>
      </c>
      <c r="G8" s="55" t="s">
        <v>104</v>
      </c>
      <c r="H8" s="55" t="s">
        <v>103</v>
      </c>
    </row>
    <row r="9" spans="1:10" ht="15" customHeight="1" x14ac:dyDescent="0.25">
      <c r="B9" s="18" t="s">
        <v>4</v>
      </c>
      <c r="C9" s="81">
        <v>102720202.79000001</v>
      </c>
      <c r="D9" s="82"/>
      <c r="E9" s="80">
        <v>92482945.549999997</v>
      </c>
      <c r="F9" s="80">
        <v>93349018.909999996</v>
      </c>
      <c r="G9" s="72">
        <v>101854129.43000001</v>
      </c>
      <c r="H9" s="82"/>
      <c r="I9" s="72"/>
      <c r="J9" s="109"/>
    </row>
    <row r="10" spans="1:10" ht="15" customHeight="1" x14ac:dyDescent="0.25">
      <c r="B10" s="18" t="s">
        <v>5</v>
      </c>
      <c r="C10" s="83">
        <v>3293553.21</v>
      </c>
      <c r="D10" s="82"/>
      <c r="E10" s="80">
        <v>90647433.680000007</v>
      </c>
      <c r="F10" s="80">
        <v>92018340.609999999</v>
      </c>
      <c r="G10" s="72">
        <v>1922646.28</v>
      </c>
      <c r="H10" s="82"/>
      <c r="I10" s="73"/>
    </row>
    <row r="11" spans="1:10" ht="15" customHeight="1" x14ac:dyDescent="0.25">
      <c r="B11" s="18" t="s">
        <v>6</v>
      </c>
      <c r="C11" s="83">
        <v>3282468.21</v>
      </c>
      <c r="D11" s="82"/>
      <c r="E11" s="84">
        <v>90647433.680000007</v>
      </c>
      <c r="F11" s="84">
        <v>92007255.609999999</v>
      </c>
      <c r="G11" s="72">
        <v>1922646.28</v>
      </c>
      <c r="H11" s="82"/>
      <c r="I11" s="73"/>
    </row>
    <row r="12" spans="1:10" ht="15" customHeight="1" x14ac:dyDescent="0.25">
      <c r="B12" s="12" t="s">
        <v>7</v>
      </c>
      <c r="C12" s="83">
        <v>20144.400000000001</v>
      </c>
      <c r="D12" s="82"/>
      <c r="E12" s="108">
        <v>45623622.270000003</v>
      </c>
      <c r="F12" s="108">
        <v>45597635.939999998</v>
      </c>
      <c r="G12" s="73">
        <v>46130.73</v>
      </c>
      <c r="H12" s="82"/>
      <c r="I12" s="73"/>
      <c r="J12" s="109"/>
    </row>
    <row r="13" spans="1:10" ht="15" customHeight="1" x14ac:dyDescent="0.25">
      <c r="B13" s="12" t="s">
        <v>105</v>
      </c>
      <c r="C13" s="83">
        <v>20144.400000000001</v>
      </c>
      <c r="D13" s="82"/>
      <c r="E13" s="85">
        <v>45623622.270000003</v>
      </c>
      <c r="F13" s="85">
        <v>45597635.939999998</v>
      </c>
      <c r="G13" s="73">
        <v>46130.73</v>
      </c>
      <c r="H13" s="82"/>
      <c r="I13" s="73"/>
      <c r="J13" s="109"/>
    </row>
    <row r="14" spans="1:10" ht="15" customHeight="1" x14ac:dyDescent="0.25">
      <c r="B14" s="12" t="s">
        <v>8</v>
      </c>
      <c r="C14" s="83">
        <v>2933357.39</v>
      </c>
      <c r="D14" s="82"/>
      <c r="E14" s="80">
        <v>36900479.439999998</v>
      </c>
      <c r="F14" s="80">
        <v>38245160.079999998</v>
      </c>
      <c r="G14" s="73">
        <v>1588676.75</v>
      </c>
      <c r="H14" s="82"/>
      <c r="I14" s="73"/>
      <c r="J14" s="109"/>
    </row>
    <row r="15" spans="1:10" ht="15" customHeight="1" x14ac:dyDescent="0.25">
      <c r="B15" s="12" t="s">
        <v>106</v>
      </c>
      <c r="C15" s="83">
        <v>2933357.39</v>
      </c>
      <c r="D15" s="82"/>
      <c r="E15" s="86">
        <v>36900479.439999998</v>
      </c>
      <c r="F15" s="86">
        <v>38245160.079999998</v>
      </c>
      <c r="G15" s="73">
        <v>1588676.75</v>
      </c>
      <c r="H15" s="82"/>
      <c r="I15" s="73"/>
      <c r="J15" s="109"/>
    </row>
    <row r="16" spans="1:10" ht="15" customHeight="1" x14ac:dyDescent="0.25">
      <c r="B16" s="12" t="s">
        <v>9</v>
      </c>
      <c r="C16" s="83">
        <v>328966.42</v>
      </c>
      <c r="D16" s="82"/>
      <c r="E16" s="86">
        <v>8123331.9699999997</v>
      </c>
      <c r="F16" s="86">
        <v>8164459.5899999999</v>
      </c>
      <c r="G16" s="73">
        <v>287838.8</v>
      </c>
      <c r="H16" s="82"/>
      <c r="I16" s="73"/>
      <c r="J16" s="109"/>
    </row>
    <row r="17" spans="2:10" ht="15" customHeight="1" x14ac:dyDescent="0.25">
      <c r="B17" s="12" t="s">
        <v>107</v>
      </c>
      <c r="C17" s="83">
        <v>328966.42</v>
      </c>
      <c r="D17" s="82"/>
      <c r="E17" s="86">
        <v>8123331.9699999997</v>
      </c>
      <c r="F17" s="86">
        <v>8164459.5899999999</v>
      </c>
      <c r="G17" s="73">
        <v>287838.8</v>
      </c>
      <c r="H17" s="82"/>
      <c r="I17" s="73"/>
      <c r="J17" s="109"/>
    </row>
    <row r="18" spans="2:10" ht="15" customHeight="1" x14ac:dyDescent="0.25">
      <c r="B18" s="12"/>
      <c r="C18" s="83"/>
      <c r="D18" s="103"/>
      <c r="E18" s="86"/>
      <c r="F18" s="66"/>
      <c r="H18" s="87"/>
      <c r="I18" s="73"/>
    </row>
    <row r="19" spans="2:10" ht="24" customHeight="1" x14ac:dyDescent="0.25">
      <c r="B19" s="74" t="s">
        <v>228</v>
      </c>
      <c r="C19" s="81">
        <v>11085</v>
      </c>
      <c r="D19" s="88"/>
      <c r="E19" s="80"/>
      <c r="F19" s="80">
        <v>11085</v>
      </c>
      <c r="G19" s="73">
        <v>0</v>
      </c>
      <c r="H19" s="88"/>
      <c r="I19" s="73"/>
    </row>
    <row r="20" spans="2:10" ht="19.5" customHeight="1" x14ac:dyDescent="0.25">
      <c r="B20" s="64" t="s">
        <v>235</v>
      </c>
      <c r="C20" s="83">
        <v>11085</v>
      </c>
      <c r="D20" s="82"/>
      <c r="E20" s="79"/>
      <c r="F20" s="79">
        <v>11085</v>
      </c>
      <c r="G20" s="73">
        <v>0</v>
      </c>
      <c r="H20" s="82"/>
    </row>
    <row r="21" spans="2:10" ht="15" customHeight="1" x14ac:dyDescent="0.25">
      <c r="B21" s="64" t="s">
        <v>236</v>
      </c>
      <c r="C21" s="83">
        <v>11085</v>
      </c>
      <c r="D21" s="82"/>
      <c r="E21" s="79"/>
      <c r="F21" s="79">
        <v>11085</v>
      </c>
      <c r="G21" s="73">
        <v>0</v>
      </c>
      <c r="H21" s="82"/>
    </row>
    <row r="22" spans="2:10" ht="15" customHeight="1" x14ac:dyDescent="0.25">
      <c r="B22" s="2"/>
      <c r="C22" s="87"/>
      <c r="D22" s="87"/>
      <c r="E22" s="79"/>
      <c r="F22" s="79"/>
      <c r="H22" s="87"/>
    </row>
    <row r="23" spans="2:10" ht="15" customHeight="1" x14ac:dyDescent="0.25">
      <c r="B23" s="18" t="s">
        <v>12</v>
      </c>
      <c r="C23" s="81">
        <v>99426649.579999998</v>
      </c>
      <c r="D23" s="82"/>
      <c r="E23" s="80"/>
      <c r="F23" s="80"/>
      <c r="G23" s="72">
        <v>99931483.150000006</v>
      </c>
      <c r="H23" s="82"/>
      <c r="I23" s="73"/>
      <c r="J23" s="65"/>
    </row>
    <row r="24" spans="2:10" ht="15" customHeight="1" x14ac:dyDescent="0.25">
      <c r="B24" s="18" t="s">
        <v>13</v>
      </c>
      <c r="C24" s="81">
        <v>99426649.579999998</v>
      </c>
      <c r="D24" s="87"/>
      <c r="E24" s="80"/>
      <c r="F24" s="80"/>
      <c r="G24" s="72">
        <v>99476578.549999997</v>
      </c>
      <c r="H24" s="87"/>
      <c r="I24" s="73"/>
      <c r="J24" s="65"/>
    </row>
    <row r="25" spans="2:10" ht="15" customHeight="1" x14ac:dyDescent="0.25">
      <c r="B25" s="18" t="s">
        <v>14</v>
      </c>
      <c r="C25" s="81">
        <v>76421621.069999993</v>
      </c>
      <c r="D25" s="87"/>
      <c r="E25" s="80"/>
      <c r="F25" s="80"/>
      <c r="G25" s="72">
        <v>76421621.069999993</v>
      </c>
      <c r="H25" s="87"/>
      <c r="I25" s="73"/>
      <c r="J25" s="65"/>
    </row>
    <row r="26" spans="2:10" ht="15" customHeight="1" x14ac:dyDescent="0.25">
      <c r="B26" s="12" t="s">
        <v>108</v>
      </c>
      <c r="C26" s="83">
        <v>65188416.259999998</v>
      </c>
      <c r="D26" s="87"/>
      <c r="E26" s="86"/>
      <c r="F26" s="86"/>
      <c r="G26" s="73">
        <v>65188416.259999998</v>
      </c>
      <c r="H26" s="87"/>
      <c r="I26" s="73"/>
    </row>
    <row r="27" spans="2:10" ht="15" customHeight="1" x14ac:dyDescent="0.25">
      <c r="B27" s="12" t="s">
        <v>109</v>
      </c>
      <c r="C27" s="83">
        <v>11233204.810000001</v>
      </c>
      <c r="D27" s="87"/>
      <c r="E27" s="86"/>
      <c r="F27" s="86"/>
      <c r="G27" s="73">
        <v>11233204.810000001</v>
      </c>
      <c r="H27" s="87"/>
      <c r="I27" s="73"/>
    </row>
    <row r="28" spans="2:10" ht="15" customHeight="1" x14ac:dyDescent="0.25">
      <c r="B28" s="56" t="s">
        <v>110</v>
      </c>
      <c r="C28" s="87"/>
      <c r="D28" s="87"/>
      <c r="E28" s="86"/>
      <c r="F28" s="86"/>
      <c r="H28" s="87"/>
      <c r="I28" s="73"/>
    </row>
    <row r="29" spans="2:10" ht="15" customHeight="1" x14ac:dyDescent="0.25">
      <c r="B29" s="2"/>
      <c r="C29" s="87"/>
      <c r="D29" s="87"/>
      <c r="E29" s="79"/>
      <c r="F29" s="79"/>
      <c r="H29" s="87"/>
      <c r="I29" s="73"/>
    </row>
    <row r="30" spans="2:10" ht="15" customHeight="1" x14ac:dyDescent="0.25">
      <c r="B30" s="18" t="s">
        <v>15</v>
      </c>
      <c r="C30" s="81">
        <v>5933990.5700000003</v>
      </c>
      <c r="D30" s="82"/>
      <c r="E30" s="80">
        <v>824046.75</v>
      </c>
      <c r="F30" s="80">
        <v>12000</v>
      </c>
      <c r="G30" s="72">
        <v>6746037.3200000003</v>
      </c>
      <c r="H30" s="82"/>
      <c r="I30" s="73"/>
    </row>
    <row r="31" spans="2:10" ht="15" customHeight="1" x14ac:dyDescent="0.25">
      <c r="B31" s="12" t="s">
        <v>111</v>
      </c>
      <c r="C31" s="83">
        <v>1</v>
      </c>
      <c r="D31" s="87"/>
      <c r="E31" s="86"/>
      <c r="F31" s="86"/>
      <c r="G31" s="73">
        <v>1</v>
      </c>
      <c r="H31" s="87"/>
      <c r="I31" s="73"/>
    </row>
    <row r="32" spans="2:10" ht="15" customHeight="1" x14ac:dyDescent="0.25">
      <c r="B32" s="56" t="s">
        <v>112</v>
      </c>
      <c r="C32" s="83">
        <v>1</v>
      </c>
      <c r="D32" s="87"/>
      <c r="E32" s="86"/>
      <c r="F32" s="86"/>
      <c r="G32" s="73">
        <v>1</v>
      </c>
      <c r="H32" s="87"/>
      <c r="I32" s="73"/>
    </row>
    <row r="33" spans="2:9" ht="15" customHeight="1" x14ac:dyDescent="0.25">
      <c r="B33" s="56" t="s">
        <v>113</v>
      </c>
      <c r="C33" s="83">
        <v>1</v>
      </c>
      <c r="D33" s="87"/>
      <c r="E33" s="86"/>
      <c r="F33" s="86"/>
      <c r="G33" s="73">
        <v>1</v>
      </c>
      <c r="H33" s="87"/>
      <c r="I33" s="73"/>
    </row>
    <row r="34" spans="2:9" ht="15" customHeight="1" x14ac:dyDescent="0.25">
      <c r="B34" s="56" t="s">
        <v>114</v>
      </c>
      <c r="C34" s="83">
        <v>1</v>
      </c>
      <c r="D34" s="87"/>
      <c r="E34" s="86"/>
      <c r="F34" s="86"/>
      <c r="G34" s="73">
        <v>1</v>
      </c>
      <c r="H34" s="87"/>
      <c r="I34" s="73"/>
    </row>
    <row r="35" spans="2:9" ht="15" customHeight="1" x14ac:dyDescent="0.25">
      <c r="B35" s="56" t="s">
        <v>115</v>
      </c>
      <c r="C35" s="83">
        <v>1</v>
      </c>
      <c r="D35" s="87"/>
      <c r="E35" s="86"/>
      <c r="F35" s="86"/>
      <c r="G35" s="73">
        <v>1</v>
      </c>
      <c r="H35" s="87"/>
      <c r="I35" s="73"/>
    </row>
    <row r="36" spans="2:9" ht="15" customHeight="1" x14ac:dyDescent="0.25">
      <c r="B36" s="12" t="s">
        <v>116</v>
      </c>
      <c r="C36" s="83">
        <v>310914</v>
      </c>
      <c r="D36" s="87"/>
      <c r="E36" s="86"/>
      <c r="F36" s="86"/>
      <c r="G36" s="73">
        <v>310914</v>
      </c>
      <c r="H36" s="87"/>
      <c r="I36" s="73"/>
    </row>
    <row r="37" spans="2:9" ht="15" customHeight="1" x14ac:dyDescent="0.25">
      <c r="B37" s="56" t="s">
        <v>117</v>
      </c>
      <c r="C37" s="83">
        <v>327584.5</v>
      </c>
      <c r="D37" s="87"/>
      <c r="E37" s="86"/>
      <c r="F37" s="86"/>
      <c r="G37" s="73">
        <v>327584.5</v>
      </c>
      <c r="H37" s="87"/>
      <c r="I37" s="73"/>
    </row>
    <row r="38" spans="2:9" ht="15" customHeight="1" x14ac:dyDescent="0.25">
      <c r="B38" s="56" t="s">
        <v>118</v>
      </c>
      <c r="C38" s="83">
        <v>434515.6</v>
      </c>
      <c r="D38" s="87"/>
      <c r="E38" s="86"/>
      <c r="F38" s="86"/>
      <c r="G38" s="73">
        <v>434515.6</v>
      </c>
      <c r="H38" s="87"/>
      <c r="I38" s="73"/>
    </row>
    <row r="39" spans="2:9" ht="15" customHeight="1" x14ac:dyDescent="0.25">
      <c r="B39" s="56" t="s">
        <v>119</v>
      </c>
      <c r="C39" s="83">
        <v>312799.59999999998</v>
      </c>
      <c r="D39" s="87"/>
      <c r="E39" s="86"/>
      <c r="F39" s="86"/>
      <c r="G39" s="73">
        <v>312799.59999999998</v>
      </c>
      <c r="H39" s="87"/>
      <c r="I39" s="73"/>
    </row>
    <row r="40" spans="2:9" ht="15" customHeight="1" x14ac:dyDescent="0.25">
      <c r="B40" s="56" t="s">
        <v>120</v>
      </c>
      <c r="C40" s="83">
        <v>2306849.7599999998</v>
      </c>
      <c r="D40" s="87"/>
      <c r="E40" s="86"/>
      <c r="F40" s="86"/>
      <c r="G40" s="73">
        <v>2306849.7599999998</v>
      </c>
      <c r="H40" s="87"/>
      <c r="I40" s="73"/>
    </row>
    <row r="41" spans="2:9" ht="15" customHeight="1" x14ac:dyDescent="0.25">
      <c r="B41" s="56" t="s">
        <v>121</v>
      </c>
      <c r="C41" s="83">
        <v>25000</v>
      </c>
      <c r="D41" s="87"/>
      <c r="E41" s="86"/>
      <c r="F41" s="86"/>
      <c r="G41" s="73">
        <v>25000</v>
      </c>
      <c r="H41" s="87"/>
      <c r="I41" s="73"/>
    </row>
    <row r="42" spans="2:9" ht="15" customHeight="1" x14ac:dyDescent="0.25">
      <c r="B42" s="12" t="s">
        <v>122</v>
      </c>
      <c r="C42" s="83">
        <v>12000</v>
      </c>
      <c r="D42" s="87"/>
      <c r="E42" s="86"/>
      <c r="F42" s="86">
        <v>12000</v>
      </c>
      <c r="G42" s="73">
        <v>0</v>
      </c>
      <c r="H42" s="87"/>
      <c r="I42" s="73"/>
    </row>
    <row r="43" spans="2:9" ht="15" customHeight="1" x14ac:dyDescent="0.25">
      <c r="B43" s="56" t="s">
        <v>123</v>
      </c>
      <c r="C43" s="83">
        <v>208810.6</v>
      </c>
      <c r="D43" s="87"/>
      <c r="E43" s="86"/>
      <c r="F43" s="86"/>
      <c r="G43" s="73">
        <v>208810.6</v>
      </c>
      <c r="H43" s="87"/>
      <c r="I43" s="73"/>
    </row>
    <row r="44" spans="2:9" ht="15" customHeight="1" x14ac:dyDescent="0.25">
      <c r="B44" s="56" t="s">
        <v>124</v>
      </c>
      <c r="C44" s="83">
        <v>208810.6</v>
      </c>
      <c r="D44" s="87"/>
      <c r="E44" s="86"/>
      <c r="F44" s="86"/>
      <c r="G44" s="73">
        <v>208810.6</v>
      </c>
      <c r="H44" s="87"/>
      <c r="I44" s="73"/>
    </row>
    <row r="45" spans="2:9" ht="15" customHeight="1" x14ac:dyDescent="0.25">
      <c r="B45" s="56" t="s">
        <v>125</v>
      </c>
      <c r="C45" s="83">
        <v>30000</v>
      </c>
      <c r="D45" s="87"/>
      <c r="E45" s="86"/>
      <c r="F45" s="86"/>
      <c r="G45" s="73">
        <v>30000</v>
      </c>
      <c r="H45" s="87"/>
      <c r="I45" s="73"/>
    </row>
    <row r="46" spans="2:9" ht="15" customHeight="1" x14ac:dyDescent="0.25">
      <c r="B46" s="56" t="s">
        <v>126</v>
      </c>
      <c r="C46" s="83">
        <v>12000</v>
      </c>
      <c r="D46" s="87"/>
      <c r="E46" s="86"/>
      <c r="F46" s="86"/>
      <c r="G46" s="73">
        <v>12000</v>
      </c>
      <c r="H46" s="87"/>
      <c r="I46" s="73"/>
    </row>
    <row r="47" spans="2:9" ht="15" customHeight="1" x14ac:dyDescent="0.25">
      <c r="B47" s="56" t="s">
        <v>127</v>
      </c>
      <c r="C47" s="83">
        <v>35000</v>
      </c>
      <c r="D47" s="87"/>
      <c r="E47" s="86"/>
      <c r="F47" s="86"/>
      <c r="G47" s="73">
        <v>35000</v>
      </c>
      <c r="H47" s="87"/>
      <c r="I47" s="73"/>
    </row>
    <row r="48" spans="2:9" ht="15" customHeight="1" x14ac:dyDescent="0.25">
      <c r="B48" s="56" t="s">
        <v>128</v>
      </c>
      <c r="C48" s="83">
        <v>309926.7</v>
      </c>
      <c r="D48" s="87"/>
      <c r="E48" s="86"/>
      <c r="F48" s="86"/>
      <c r="G48" s="73">
        <v>309926.7</v>
      </c>
      <c r="H48" s="87"/>
      <c r="I48" s="73"/>
    </row>
    <row r="49" spans="2:10" ht="15" customHeight="1" x14ac:dyDescent="0.25">
      <c r="B49" s="56" t="s">
        <v>129</v>
      </c>
      <c r="C49" s="83">
        <v>88624.25</v>
      </c>
      <c r="D49" s="87"/>
      <c r="E49" s="86"/>
      <c r="F49" s="86"/>
      <c r="G49" s="73">
        <v>88624.25</v>
      </c>
      <c r="H49" s="87"/>
      <c r="I49" s="73"/>
    </row>
    <row r="50" spans="2:10" ht="15" customHeight="1" x14ac:dyDescent="0.25">
      <c r="B50" s="64" t="s">
        <v>237</v>
      </c>
      <c r="C50" s="83">
        <v>655574.98</v>
      </c>
      <c r="D50" s="87"/>
      <c r="E50" s="86"/>
      <c r="F50" s="86"/>
      <c r="G50" s="73">
        <v>655574.98</v>
      </c>
      <c r="H50" s="87"/>
      <c r="I50" s="73"/>
      <c r="J50" s="65"/>
    </row>
    <row r="51" spans="2:10" ht="15" customHeight="1" x14ac:dyDescent="0.25">
      <c r="B51" s="64" t="s">
        <v>238</v>
      </c>
      <c r="C51" s="83">
        <v>655574.98</v>
      </c>
      <c r="D51" s="87"/>
      <c r="E51" s="86"/>
      <c r="F51" s="86"/>
      <c r="G51" s="73">
        <v>655574.98</v>
      </c>
      <c r="H51" s="87"/>
      <c r="I51" s="73"/>
      <c r="J51" s="65"/>
    </row>
    <row r="52" spans="2:10" ht="15" customHeight="1" x14ac:dyDescent="0.25">
      <c r="B52" s="64" t="s">
        <v>262</v>
      </c>
      <c r="C52" s="83"/>
      <c r="D52" s="87"/>
      <c r="E52" s="86">
        <v>824046.75</v>
      </c>
      <c r="F52" s="86"/>
      <c r="G52" s="73">
        <v>824046.75</v>
      </c>
      <c r="H52" s="87"/>
      <c r="I52" s="73"/>
      <c r="J52" s="65"/>
    </row>
    <row r="53" spans="2:10" ht="15" customHeight="1" x14ac:dyDescent="0.25">
      <c r="B53" s="56"/>
      <c r="C53" s="87"/>
      <c r="D53" s="87"/>
      <c r="E53" s="86"/>
      <c r="F53" s="86"/>
      <c r="H53" s="87"/>
      <c r="I53" s="73"/>
    </row>
    <row r="54" spans="2:10" ht="15" customHeight="1" x14ac:dyDescent="0.25">
      <c r="B54" s="18" t="s">
        <v>16</v>
      </c>
      <c r="C54" s="81">
        <v>5968359.2999999998</v>
      </c>
      <c r="D54" s="82"/>
      <c r="E54" s="80">
        <v>544561.52</v>
      </c>
      <c r="F54" s="80"/>
      <c r="G54" s="72">
        <v>6512920.8200000003</v>
      </c>
      <c r="H54" s="82"/>
      <c r="I54" s="73"/>
    </row>
    <row r="55" spans="2:10" ht="15" customHeight="1" x14ac:dyDescent="0.25">
      <c r="B55" s="12" t="s">
        <v>130</v>
      </c>
      <c r="C55" s="83">
        <v>5968359.2999999998</v>
      </c>
      <c r="D55" s="82"/>
      <c r="E55" s="86"/>
      <c r="F55" s="86"/>
      <c r="G55" s="73">
        <v>6512920.8200000003</v>
      </c>
      <c r="H55" s="82"/>
      <c r="I55" s="73"/>
    </row>
    <row r="56" spans="2:10" ht="15" customHeight="1" x14ac:dyDescent="0.25">
      <c r="B56" s="2"/>
      <c r="C56" s="87"/>
      <c r="D56" s="87"/>
      <c r="E56" s="79"/>
      <c r="F56" s="79"/>
      <c r="H56" s="87"/>
      <c r="I56" s="73"/>
    </row>
    <row r="57" spans="2:10" ht="15" customHeight="1" x14ac:dyDescent="0.25">
      <c r="B57" s="12" t="s">
        <v>17</v>
      </c>
      <c r="C57" s="81">
        <v>15725500.25</v>
      </c>
      <c r="D57" s="87"/>
      <c r="E57" s="80"/>
      <c r="F57" s="80"/>
      <c r="G57" s="73">
        <v>15725500.25</v>
      </c>
      <c r="H57" s="87"/>
      <c r="I57" s="73"/>
    </row>
    <row r="58" spans="2:10" ht="15" customHeight="1" x14ac:dyDescent="0.25">
      <c r="B58" s="12" t="s">
        <v>219</v>
      </c>
      <c r="C58" s="83">
        <v>12852864.189999999</v>
      </c>
      <c r="D58" s="87"/>
      <c r="E58" s="86"/>
      <c r="F58" s="86"/>
      <c r="G58" s="73">
        <v>12852864.189999999</v>
      </c>
      <c r="H58" s="87"/>
      <c r="I58" s="73"/>
    </row>
    <row r="59" spans="2:10" ht="15" customHeight="1" x14ac:dyDescent="0.25">
      <c r="B59" s="12" t="s">
        <v>220</v>
      </c>
      <c r="C59" s="83">
        <v>2872636.06</v>
      </c>
      <c r="D59" s="87"/>
      <c r="E59" s="86"/>
      <c r="F59" s="86"/>
      <c r="G59" s="73">
        <v>2872636.06</v>
      </c>
      <c r="H59" s="87"/>
      <c r="I59" s="73"/>
    </row>
    <row r="60" spans="2:10" ht="15" customHeight="1" x14ac:dyDescent="0.25">
      <c r="B60" s="2"/>
      <c r="C60" s="87"/>
      <c r="D60" s="87"/>
      <c r="E60" s="79"/>
      <c r="F60" s="79"/>
      <c r="H60" s="87"/>
      <c r="I60" s="73"/>
    </row>
    <row r="61" spans="2:10" ht="15" customHeight="1" x14ac:dyDescent="0.25">
      <c r="B61" s="18" t="s">
        <v>18</v>
      </c>
      <c r="C61" s="87"/>
      <c r="D61" s="87"/>
      <c r="E61" s="80"/>
      <c r="F61" s="80"/>
      <c r="H61" s="87"/>
      <c r="I61" s="73"/>
    </row>
    <row r="62" spans="2:10" ht="15" customHeight="1" x14ac:dyDescent="0.25">
      <c r="B62" s="56" t="s">
        <v>131</v>
      </c>
      <c r="C62" s="87"/>
      <c r="D62" s="87"/>
      <c r="E62" s="86"/>
      <c r="F62" s="86"/>
      <c r="H62" s="87"/>
      <c r="I62" s="73"/>
    </row>
    <row r="63" spans="2:10" ht="15" customHeight="1" x14ac:dyDescent="0.25">
      <c r="B63" s="12" t="s">
        <v>109</v>
      </c>
      <c r="C63" s="87"/>
      <c r="D63" s="87"/>
      <c r="E63" s="86"/>
      <c r="F63" s="86"/>
      <c r="H63" s="87"/>
      <c r="I63" s="73"/>
    </row>
    <row r="64" spans="2:10" ht="15" customHeight="1" x14ac:dyDescent="0.25">
      <c r="B64" s="12" t="s">
        <v>132</v>
      </c>
      <c r="C64" s="87"/>
      <c r="D64" s="87"/>
      <c r="E64" s="86"/>
      <c r="F64" s="86"/>
      <c r="H64" s="87"/>
      <c r="I64" s="73"/>
    </row>
    <row r="65" spans="2:9" ht="15" customHeight="1" x14ac:dyDescent="0.25">
      <c r="B65" s="2"/>
      <c r="C65" s="87"/>
      <c r="D65" s="87"/>
      <c r="E65" s="79"/>
      <c r="F65" s="79"/>
      <c r="H65" s="87"/>
      <c r="I65" s="73"/>
    </row>
    <row r="66" spans="2:9" ht="15" customHeight="1" x14ac:dyDescent="0.25">
      <c r="B66" s="18" t="s">
        <v>19</v>
      </c>
      <c r="C66" s="81">
        <v>-4622821.6100000003</v>
      </c>
      <c r="D66" s="82"/>
      <c r="E66" s="91">
        <v>11999</v>
      </c>
      <c r="F66" s="91">
        <v>275963.62</v>
      </c>
      <c r="G66" s="72">
        <v>-4886786.2300000004</v>
      </c>
      <c r="H66" s="82"/>
      <c r="I66" s="73"/>
    </row>
    <row r="67" spans="2:9" ht="15" customHeight="1" x14ac:dyDescent="0.25">
      <c r="B67" s="56" t="s">
        <v>133</v>
      </c>
      <c r="C67" s="83">
        <v>-310913</v>
      </c>
      <c r="D67" s="87"/>
      <c r="E67" s="92"/>
      <c r="F67" s="86"/>
      <c r="G67" s="73">
        <v>-310913</v>
      </c>
      <c r="H67" s="87"/>
      <c r="I67" s="73"/>
    </row>
    <row r="68" spans="2:9" ht="15" customHeight="1" x14ac:dyDescent="0.25">
      <c r="B68" s="56" t="s">
        <v>134</v>
      </c>
      <c r="C68" s="83">
        <v>-327583.5</v>
      </c>
      <c r="D68" s="87"/>
      <c r="E68" s="92"/>
      <c r="F68" s="86"/>
      <c r="G68" s="73">
        <v>-327583.5</v>
      </c>
      <c r="H68" s="87"/>
      <c r="I68" s="73"/>
    </row>
    <row r="69" spans="2:9" ht="15" customHeight="1" x14ac:dyDescent="0.25">
      <c r="B69" s="56" t="s">
        <v>135</v>
      </c>
      <c r="C69" s="83">
        <v>-434514.6</v>
      </c>
      <c r="D69" s="87"/>
      <c r="E69" s="92"/>
      <c r="F69" s="86"/>
      <c r="G69" s="73">
        <v>-434514.6</v>
      </c>
      <c r="H69" s="87"/>
      <c r="I69" s="73"/>
    </row>
    <row r="70" spans="2:9" ht="15" customHeight="1" x14ac:dyDescent="0.25">
      <c r="B70" s="56" t="s">
        <v>119</v>
      </c>
      <c r="C70" s="83">
        <v>-312798.59999999998</v>
      </c>
      <c r="D70" s="87"/>
      <c r="E70" s="92"/>
      <c r="F70" s="86"/>
      <c r="G70" s="73">
        <v>-312798.59999999998</v>
      </c>
      <c r="H70" s="87"/>
      <c r="I70" s="73"/>
    </row>
    <row r="71" spans="2:9" ht="15" customHeight="1" x14ac:dyDescent="0.25">
      <c r="B71" s="56" t="s">
        <v>136</v>
      </c>
      <c r="C71" s="83">
        <v>-2306848.7599999998</v>
      </c>
      <c r="D71" s="87"/>
      <c r="E71" s="92"/>
      <c r="F71" s="86"/>
      <c r="G71" s="73">
        <v>-2306848.7599999998</v>
      </c>
      <c r="H71" s="87"/>
      <c r="I71" s="73"/>
    </row>
    <row r="72" spans="2:9" ht="15" customHeight="1" x14ac:dyDescent="0.25">
      <c r="B72" s="12" t="s">
        <v>137</v>
      </c>
      <c r="C72" s="83">
        <v>-24999</v>
      </c>
      <c r="D72" s="87"/>
      <c r="E72" s="92"/>
      <c r="F72" s="86"/>
      <c r="G72" s="73">
        <v>-24999</v>
      </c>
      <c r="H72" s="87"/>
      <c r="I72" s="73"/>
    </row>
    <row r="73" spans="2:9" ht="15" customHeight="1" x14ac:dyDescent="0.25">
      <c r="B73" s="56" t="s">
        <v>138</v>
      </c>
      <c r="C73" s="83">
        <v>-208809.60000000001</v>
      </c>
      <c r="D73" s="87"/>
      <c r="E73" s="93"/>
      <c r="F73" s="86"/>
      <c r="G73" s="73">
        <v>-208809.60000000001</v>
      </c>
      <c r="H73" s="87"/>
      <c r="I73" s="73"/>
    </row>
    <row r="74" spans="2:9" ht="15" customHeight="1" x14ac:dyDescent="0.25">
      <c r="B74" s="56" t="s">
        <v>139</v>
      </c>
      <c r="C74" s="83">
        <v>-208809.60000000001</v>
      </c>
      <c r="D74" s="87"/>
      <c r="E74" s="93"/>
      <c r="F74" s="92"/>
      <c r="G74" s="73">
        <v>-208809.60000000001</v>
      </c>
      <c r="H74" s="87"/>
      <c r="I74" s="72"/>
    </row>
    <row r="75" spans="2:9" ht="15" customHeight="1" x14ac:dyDescent="0.25">
      <c r="B75" s="12" t="s">
        <v>140</v>
      </c>
      <c r="C75" s="83">
        <v>-29999</v>
      </c>
      <c r="D75" s="87"/>
      <c r="E75" s="93"/>
      <c r="F75" s="93"/>
      <c r="G75" s="73">
        <v>-29999</v>
      </c>
      <c r="H75" s="87"/>
      <c r="I75" s="73"/>
    </row>
    <row r="76" spans="2:9" ht="15" customHeight="1" x14ac:dyDescent="0.25">
      <c r="B76" s="56" t="s">
        <v>141</v>
      </c>
      <c r="C76" s="83">
        <v>-11999</v>
      </c>
      <c r="D76" s="87"/>
      <c r="E76" s="93"/>
      <c r="F76" s="93"/>
      <c r="G76" s="73">
        <v>-11999</v>
      </c>
      <c r="H76" s="87"/>
      <c r="I76" s="73"/>
    </row>
    <row r="77" spans="2:9" ht="15" customHeight="1" x14ac:dyDescent="0.25">
      <c r="B77" s="56" t="s">
        <v>127</v>
      </c>
      <c r="C77" s="83">
        <v>-34999</v>
      </c>
      <c r="D77" s="87"/>
      <c r="E77" s="93"/>
      <c r="F77" s="86"/>
      <c r="G77" s="73">
        <v>-34999</v>
      </c>
      <c r="H77" s="87"/>
      <c r="I77" s="73"/>
    </row>
    <row r="78" spans="2:9" ht="15" customHeight="1" x14ac:dyDescent="0.25">
      <c r="B78" s="56" t="s">
        <v>142</v>
      </c>
      <c r="C78" s="83">
        <v>-309925.7</v>
      </c>
      <c r="D78" s="87"/>
      <c r="E78" s="93"/>
      <c r="F78" s="86"/>
      <c r="G78" s="73">
        <v>-309925.7</v>
      </c>
      <c r="H78" s="87"/>
      <c r="I78" s="73"/>
    </row>
    <row r="79" spans="2:9" ht="15" customHeight="1" x14ac:dyDescent="0.25">
      <c r="B79" s="64" t="s">
        <v>129</v>
      </c>
      <c r="C79" s="83">
        <v>-88623.25</v>
      </c>
      <c r="D79" s="87"/>
      <c r="E79" s="66"/>
      <c r="F79" s="86"/>
      <c r="G79" s="73">
        <v>-88623.25</v>
      </c>
      <c r="H79" s="87"/>
    </row>
    <row r="80" spans="2:9" ht="15" customHeight="1" x14ac:dyDescent="0.25">
      <c r="B80" s="64" t="s">
        <v>122</v>
      </c>
      <c r="C80" s="83">
        <v>-11999</v>
      </c>
      <c r="D80" s="87"/>
      <c r="E80" s="100">
        <v>11999</v>
      </c>
      <c r="F80" s="86"/>
      <c r="G80" s="73">
        <v>0</v>
      </c>
      <c r="H80" s="87"/>
    </row>
    <row r="81" spans="2:15" ht="20.25" customHeight="1" x14ac:dyDescent="0.25">
      <c r="B81" s="64" t="s">
        <v>263</v>
      </c>
      <c r="C81" s="90"/>
      <c r="D81" s="87"/>
      <c r="F81" s="63">
        <v>120188.53</v>
      </c>
      <c r="G81" s="73">
        <v>-120188.53</v>
      </c>
      <c r="H81" s="113"/>
      <c r="I81" s="73"/>
      <c r="J81" s="65"/>
    </row>
    <row r="82" spans="2:15" ht="20.25" customHeight="1" x14ac:dyDescent="0.25">
      <c r="B82" s="64" t="s">
        <v>264</v>
      </c>
      <c r="C82" s="90"/>
      <c r="D82" s="87"/>
      <c r="F82" s="63">
        <v>142040.99</v>
      </c>
      <c r="G82" s="73">
        <v>-142040.99</v>
      </c>
      <c r="H82" s="113"/>
      <c r="I82" s="73"/>
      <c r="J82" s="65"/>
    </row>
    <row r="83" spans="2:15" ht="20.25" customHeight="1" x14ac:dyDescent="0.25">
      <c r="B83" s="64" t="s">
        <v>262</v>
      </c>
      <c r="C83" s="90"/>
      <c r="D83" s="87"/>
      <c r="F83" s="63">
        <v>13734.1</v>
      </c>
      <c r="G83" s="73">
        <v>-13734.1</v>
      </c>
      <c r="H83" s="113"/>
      <c r="I83" s="73"/>
      <c r="J83" s="65"/>
    </row>
    <row r="84" spans="2:15" ht="20.25" customHeight="1" x14ac:dyDescent="0.25">
      <c r="B84" s="64"/>
      <c r="C84" s="90"/>
      <c r="D84" s="87"/>
      <c r="E84" s="92"/>
      <c r="F84" s="86"/>
      <c r="G84" s="73"/>
      <c r="H84" s="87"/>
      <c r="I84" s="73"/>
      <c r="J84" s="65"/>
    </row>
    <row r="85" spans="2:15" ht="20.25" customHeight="1" x14ac:dyDescent="0.25">
      <c r="B85" s="18" t="s">
        <v>250</v>
      </c>
      <c r="C85" s="90"/>
      <c r="D85" s="87"/>
      <c r="F85" s="80">
        <v>1042714.68</v>
      </c>
      <c r="G85" s="72">
        <v>-1042714.68</v>
      </c>
      <c r="H85" s="87"/>
      <c r="I85" s="73"/>
      <c r="J85" s="65"/>
    </row>
    <row r="86" spans="2:15" ht="20.25" customHeight="1" x14ac:dyDescent="0.25">
      <c r="B86" s="64" t="s">
        <v>265</v>
      </c>
      <c r="C86" s="90"/>
      <c r="D86" s="87"/>
      <c r="F86" s="86">
        <v>1042714.68</v>
      </c>
      <c r="G86" s="73">
        <v>-1042714.68</v>
      </c>
      <c r="H86" s="87"/>
      <c r="I86" s="73"/>
      <c r="J86" s="65"/>
    </row>
    <row r="87" spans="2:15" ht="20.25" customHeight="1" x14ac:dyDescent="0.25">
      <c r="B87" s="64"/>
      <c r="C87" s="90"/>
      <c r="D87" s="87"/>
      <c r="E87" s="92"/>
      <c r="F87" s="86"/>
      <c r="G87" s="73"/>
      <c r="H87" s="87"/>
      <c r="I87" s="73"/>
      <c r="J87" s="65"/>
    </row>
    <row r="88" spans="2:15" ht="20.25" customHeight="1" x14ac:dyDescent="0.25">
      <c r="B88" s="18" t="s">
        <v>251</v>
      </c>
      <c r="C88" s="90"/>
      <c r="D88" s="87"/>
      <c r="E88" s="80">
        <v>454904.6</v>
      </c>
      <c r="G88" s="72">
        <v>454904.6</v>
      </c>
      <c r="H88" s="87"/>
      <c r="I88" s="73"/>
      <c r="J88" s="65"/>
    </row>
    <row r="89" spans="2:15" ht="20.25" customHeight="1" x14ac:dyDescent="0.25">
      <c r="B89" s="18" t="s">
        <v>252</v>
      </c>
      <c r="C89" s="90"/>
      <c r="D89" s="87"/>
      <c r="E89" s="80">
        <v>454904.6</v>
      </c>
      <c r="G89" s="72">
        <v>454904.6</v>
      </c>
      <c r="H89" s="87"/>
      <c r="I89" s="73"/>
      <c r="J89" s="65"/>
    </row>
    <row r="90" spans="2:15" ht="20.25" customHeight="1" x14ac:dyDescent="0.25">
      <c r="B90" s="64" t="s">
        <v>266</v>
      </c>
      <c r="C90" s="90"/>
      <c r="D90" s="87"/>
      <c r="E90" s="86">
        <v>454904.6</v>
      </c>
      <c r="G90" s="73">
        <v>454904.6</v>
      </c>
      <c r="H90" s="87"/>
      <c r="I90" s="73"/>
      <c r="J90" s="65"/>
    </row>
    <row r="91" spans="2:15" ht="15" customHeight="1" x14ac:dyDescent="0.25">
      <c r="B91" s="2"/>
      <c r="C91" s="87"/>
      <c r="D91" s="87"/>
      <c r="E91" s="86"/>
      <c r="F91" s="86"/>
      <c r="H91" s="87"/>
      <c r="I91" s="73"/>
      <c r="J91" s="65"/>
    </row>
    <row r="92" spans="2:15" ht="15" customHeight="1" x14ac:dyDescent="0.25">
      <c r="B92" s="18" t="s">
        <v>24</v>
      </c>
      <c r="C92" s="87"/>
      <c r="D92" s="81">
        <v>5436709.8399999999</v>
      </c>
      <c r="E92" s="80">
        <v>7462095.7199999997</v>
      </c>
      <c r="F92" s="80">
        <v>8321730.6799999997</v>
      </c>
      <c r="H92" s="107">
        <v>6296344.7999999998</v>
      </c>
      <c r="I92" s="73"/>
      <c r="J92" s="65"/>
      <c r="K92" s="109"/>
      <c r="N92" s="65"/>
      <c r="O92" s="65"/>
    </row>
    <row r="93" spans="2:15" ht="15" customHeight="1" x14ac:dyDescent="0.25">
      <c r="B93" s="18" t="s">
        <v>25</v>
      </c>
      <c r="C93" s="87"/>
      <c r="D93" s="81">
        <v>924540.88</v>
      </c>
      <c r="E93" s="80">
        <v>1617739.72</v>
      </c>
      <c r="F93" s="80">
        <v>1720019.2</v>
      </c>
      <c r="H93" s="107">
        <v>1026820.36</v>
      </c>
      <c r="I93" s="73"/>
      <c r="J93" s="65"/>
      <c r="K93" s="109"/>
      <c r="N93" s="65"/>
      <c r="O93" s="65"/>
    </row>
    <row r="94" spans="2:15" ht="15" customHeight="1" x14ac:dyDescent="0.25">
      <c r="B94" s="12" t="s">
        <v>26</v>
      </c>
      <c r="C94" s="87"/>
      <c r="D94" s="83">
        <v>116609.72</v>
      </c>
      <c r="E94" s="86">
        <v>316753.89</v>
      </c>
      <c r="F94" s="86">
        <v>265879.57</v>
      </c>
      <c r="H94" s="65">
        <v>65735.399999999994</v>
      </c>
      <c r="I94" s="73"/>
      <c r="J94" s="65"/>
      <c r="K94" s="109"/>
      <c r="N94" s="65"/>
      <c r="O94" s="65"/>
    </row>
    <row r="95" spans="2:15" ht="15" customHeight="1" x14ac:dyDescent="0.25">
      <c r="B95" s="64" t="s">
        <v>231</v>
      </c>
      <c r="C95" s="87"/>
      <c r="D95" s="83">
        <v>87871.33</v>
      </c>
      <c r="E95" s="79">
        <v>731142.6</v>
      </c>
      <c r="F95" s="79">
        <v>794887.18</v>
      </c>
      <c r="H95" s="65">
        <v>151615.91</v>
      </c>
      <c r="I95" s="73"/>
      <c r="J95" s="65"/>
      <c r="K95" s="109"/>
      <c r="N95" s="65"/>
      <c r="O95" s="65"/>
    </row>
    <row r="96" spans="2:15" ht="15" customHeight="1" x14ac:dyDescent="0.25">
      <c r="B96" s="64" t="s">
        <v>232</v>
      </c>
      <c r="C96" s="87"/>
      <c r="D96" s="83">
        <v>720059.83</v>
      </c>
      <c r="E96" s="79">
        <v>569843.23</v>
      </c>
      <c r="F96" s="79">
        <v>659252.44999999995</v>
      </c>
      <c r="H96" s="65">
        <v>809469.05</v>
      </c>
      <c r="I96" s="73"/>
      <c r="J96" s="65"/>
      <c r="K96" s="109"/>
      <c r="N96" s="65"/>
      <c r="O96" s="65"/>
    </row>
    <row r="97" spans="2:15" ht="15" customHeight="1" x14ac:dyDescent="0.25">
      <c r="B97" s="2"/>
      <c r="C97" s="87"/>
      <c r="D97" s="87"/>
      <c r="E97" s="86"/>
      <c r="F97" s="86"/>
      <c r="G97" s="87"/>
      <c r="I97" s="73"/>
      <c r="J97" s="65"/>
      <c r="K97" s="109"/>
      <c r="N97" s="65"/>
      <c r="O97" s="65"/>
    </row>
    <row r="98" spans="2:15" ht="15" customHeight="1" x14ac:dyDescent="0.25">
      <c r="B98" s="18" t="s">
        <v>28</v>
      </c>
      <c r="C98" s="87"/>
      <c r="D98" s="81">
        <v>174084.8</v>
      </c>
      <c r="E98" s="80">
        <v>3236754.72</v>
      </c>
      <c r="F98" s="80">
        <v>3820705.17</v>
      </c>
      <c r="G98" s="118"/>
      <c r="H98" s="107">
        <v>758035.25</v>
      </c>
      <c r="I98" s="73"/>
      <c r="J98" s="65"/>
      <c r="K98" s="109"/>
      <c r="N98" s="65"/>
      <c r="O98" s="65"/>
    </row>
    <row r="99" spans="2:15" ht="15" customHeight="1" x14ac:dyDescent="0.25">
      <c r="B99" s="12" t="s">
        <v>29</v>
      </c>
      <c r="C99" s="87"/>
      <c r="D99" s="83">
        <v>114367.97</v>
      </c>
      <c r="E99" s="86">
        <v>1264266.8</v>
      </c>
      <c r="F99" s="86">
        <v>1259897.1000000001</v>
      </c>
      <c r="G99" s="87"/>
      <c r="H99" s="65">
        <v>109998.27</v>
      </c>
      <c r="I99" s="73"/>
      <c r="J99" s="65"/>
      <c r="K99" s="109"/>
      <c r="N99" s="65"/>
      <c r="O99" s="65"/>
    </row>
    <row r="100" spans="2:15" ht="15" customHeight="1" x14ac:dyDescent="0.25">
      <c r="B100" s="12" t="s">
        <v>30</v>
      </c>
      <c r="C100" s="87"/>
      <c r="D100" s="83">
        <v>1717</v>
      </c>
      <c r="E100" s="86">
        <v>37372.879999999997</v>
      </c>
      <c r="F100" s="86">
        <v>38026.1</v>
      </c>
      <c r="G100" s="87"/>
      <c r="H100" s="65">
        <v>2370.2199999999998</v>
      </c>
      <c r="I100" s="73"/>
      <c r="J100" s="65"/>
      <c r="K100" s="109"/>
      <c r="N100" s="65"/>
      <c r="O100" s="65"/>
    </row>
    <row r="101" spans="2:15" ht="15" customHeight="1" x14ac:dyDescent="0.25">
      <c r="B101" s="12" t="s">
        <v>31</v>
      </c>
      <c r="C101" s="87"/>
      <c r="D101" s="83">
        <v>51342.32</v>
      </c>
      <c r="E101" s="86">
        <v>1838077.64</v>
      </c>
      <c r="F101" s="86">
        <v>1970858.22</v>
      </c>
      <c r="G101" s="87"/>
      <c r="H101" s="65">
        <v>184122.9</v>
      </c>
      <c r="I101" s="73"/>
      <c r="J101" s="65"/>
      <c r="K101" s="109"/>
      <c r="N101" s="65"/>
      <c r="O101" s="65"/>
    </row>
    <row r="102" spans="2:15" ht="15" customHeight="1" x14ac:dyDescent="0.25">
      <c r="B102" s="12" t="s">
        <v>32</v>
      </c>
      <c r="C102" s="87"/>
      <c r="D102" s="83">
        <v>6657.51</v>
      </c>
      <c r="E102" s="79">
        <v>97037.4</v>
      </c>
      <c r="F102" s="79">
        <v>97019.15</v>
      </c>
      <c r="G102" s="87"/>
      <c r="H102" s="65">
        <v>6639.26</v>
      </c>
      <c r="I102" s="73"/>
      <c r="J102" s="65"/>
      <c r="K102" s="109"/>
      <c r="N102" s="65"/>
      <c r="O102" s="65"/>
    </row>
    <row r="103" spans="2:15" ht="15" customHeight="1" x14ac:dyDescent="0.25">
      <c r="B103" s="12" t="s">
        <v>254</v>
      </c>
      <c r="C103" s="87"/>
      <c r="D103" s="83"/>
      <c r="E103" s="79"/>
      <c r="F103" s="79">
        <v>454904.6</v>
      </c>
      <c r="G103" s="87"/>
      <c r="H103" s="65">
        <v>454904.6</v>
      </c>
      <c r="I103" s="73"/>
      <c r="J103" s="65"/>
      <c r="K103" s="109"/>
      <c r="N103" s="65"/>
      <c r="O103" s="65"/>
    </row>
    <row r="104" spans="2:15" ht="15" customHeight="1" x14ac:dyDescent="0.25">
      <c r="B104" s="2"/>
      <c r="C104" s="87"/>
      <c r="D104" s="87"/>
      <c r="E104" s="86"/>
      <c r="F104" s="86"/>
      <c r="G104" s="87"/>
      <c r="I104" s="73"/>
      <c r="J104" s="65"/>
      <c r="K104" s="109"/>
      <c r="N104" s="65"/>
      <c r="O104" s="65"/>
    </row>
    <row r="105" spans="2:15" ht="15" customHeight="1" x14ac:dyDescent="0.25">
      <c r="B105" s="21" t="s">
        <v>34</v>
      </c>
      <c r="C105" s="87"/>
      <c r="D105" s="81">
        <v>4338084.16</v>
      </c>
      <c r="E105" s="80">
        <v>2607601.2799999998</v>
      </c>
      <c r="F105" s="80">
        <v>2781006.31</v>
      </c>
      <c r="G105" s="87"/>
      <c r="H105" s="107">
        <v>4511489.1900000004</v>
      </c>
      <c r="I105" s="73"/>
      <c r="J105" s="65"/>
      <c r="K105" s="109"/>
      <c r="N105" s="65"/>
      <c r="O105" s="65"/>
    </row>
    <row r="106" spans="2:15" ht="15" customHeight="1" x14ac:dyDescent="0.25">
      <c r="B106" s="12" t="s">
        <v>221</v>
      </c>
      <c r="C106" s="87"/>
      <c r="D106" s="83">
        <v>3403796.76</v>
      </c>
      <c r="E106" s="86">
        <v>340398.99</v>
      </c>
      <c r="F106" s="86">
        <v>521484.12</v>
      </c>
      <c r="G106" s="87"/>
      <c r="H106" s="65">
        <v>3584881.89</v>
      </c>
      <c r="I106" s="73"/>
      <c r="J106" s="65"/>
      <c r="K106" s="109"/>
      <c r="N106" s="65"/>
      <c r="O106" s="65"/>
    </row>
    <row r="107" spans="2:15" ht="15" customHeight="1" x14ac:dyDescent="0.25">
      <c r="B107" s="12" t="s">
        <v>35</v>
      </c>
      <c r="C107" s="87"/>
      <c r="D107" s="83">
        <v>37658.15</v>
      </c>
      <c r="E107" s="86">
        <v>449198.22</v>
      </c>
      <c r="F107" s="86">
        <v>485194.23999999999</v>
      </c>
      <c r="G107" s="87"/>
      <c r="H107" s="65">
        <v>73654.17</v>
      </c>
      <c r="I107" s="73"/>
      <c r="J107" s="65"/>
      <c r="K107" s="109"/>
      <c r="N107" s="65"/>
      <c r="O107" s="65"/>
    </row>
    <row r="108" spans="2:15" ht="15" customHeight="1" x14ac:dyDescent="0.25">
      <c r="B108" s="12" t="s">
        <v>36</v>
      </c>
      <c r="C108" s="87"/>
      <c r="D108" s="83">
        <v>115663.45</v>
      </c>
      <c r="E108" s="86">
        <v>1379681.28</v>
      </c>
      <c r="F108" s="86">
        <v>1318415.99</v>
      </c>
      <c r="G108" s="87"/>
      <c r="H108" s="65">
        <v>54398.16</v>
      </c>
      <c r="I108" s="73"/>
      <c r="J108" s="65"/>
      <c r="K108" s="109"/>
      <c r="N108" s="65"/>
      <c r="O108" s="65"/>
    </row>
    <row r="109" spans="2:15" ht="15" customHeight="1" x14ac:dyDescent="0.25">
      <c r="B109" s="12" t="s">
        <v>37</v>
      </c>
      <c r="C109" s="87"/>
      <c r="D109" s="83">
        <v>11425</v>
      </c>
      <c r="E109" s="86">
        <v>128793.68</v>
      </c>
      <c r="F109" s="86">
        <v>127511.1</v>
      </c>
      <c r="G109" s="87"/>
      <c r="H109" s="65">
        <v>10142.42</v>
      </c>
      <c r="I109" s="73"/>
      <c r="J109" s="65"/>
      <c r="K109" s="109"/>
      <c r="N109" s="65"/>
      <c r="O109" s="65"/>
    </row>
    <row r="110" spans="2:15" ht="15" customHeight="1" x14ac:dyDescent="0.25">
      <c r="B110" s="12" t="s">
        <v>38</v>
      </c>
      <c r="C110" s="87"/>
      <c r="D110" s="83">
        <v>12173.49</v>
      </c>
      <c r="E110" s="86">
        <v>161853.35</v>
      </c>
      <c r="F110" s="86">
        <v>164200.43</v>
      </c>
      <c r="G110" s="87"/>
      <c r="H110" s="65">
        <v>14520.57</v>
      </c>
      <c r="I110" s="73"/>
      <c r="J110" s="65"/>
      <c r="K110" s="109"/>
      <c r="N110" s="65"/>
      <c r="O110" s="65"/>
    </row>
    <row r="111" spans="2:15" ht="15" customHeight="1" x14ac:dyDescent="0.25">
      <c r="B111" s="12" t="s">
        <v>39</v>
      </c>
      <c r="C111" s="87"/>
      <c r="D111" s="83">
        <v>306167.02</v>
      </c>
      <c r="E111" s="79">
        <v>147675.76</v>
      </c>
      <c r="F111" s="79">
        <v>164200.43</v>
      </c>
      <c r="G111" s="87"/>
      <c r="H111" s="65">
        <v>322691.69</v>
      </c>
      <c r="I111" s="73"/>
      <c r="J111" s="65"/>
      <c r="K111" s="109"/>
      <c r="N111" s="65"/>
      <c r="O111" s="65"/>
    </row>
    <row r="112" spans="2:15" ht="15" customHeight="1" x14ac:dyDescent="0.25">
      <c r="B112" s="66" t="s">
        <v>233</v>
      </c>
      <c r="C112" s="87"/>
      <c r="D112" s="83">
        <v>451200.29</v>
      </c>
      <c r="E112" s="79"/>
      <c r="F112" s="79"/>
      <c r="G112" s="87"/>
      <c r="H112" s="65">
        <v>451200.29</v>
      </c>
      <c r="I112" s="73"/>
      <c r="J112" s="65"/>
      <c r="K112" s="109"/>
      <c r="N112" s="65"/>
      <c r="O112" s="65"/>
    </row>
    <row r="113" spans="2:15" ht="15" customHeight="1" x14ac:dyDescent="0.25">
      <c r="B113" s="2"/>
      <c r="C113" s="87"/>
      <c r="D113" s="87"/>
      <c r="E113" s="86"/>
      <c r="F113" s="86"/>
      <c r="G113" s="87"/>
      <c r="N113" s="65"/>
      <c r="O113" s="65"/>
    </row>
    <row r="114" spans="2:15" ht="15" customHeight="1" x14ac:dyDescent="0.25">
      <c r="B114" s="18" t="s">
        <v>43</v>
      </c>
      <c r="C114" s="87"/>
      <c r="D114" s="81">
        <v>97372536.760000005</v>
      </c>
      <c r="E114" s="80"/>
      <c r="F114" s="80"/>
      <c r="G114" s="87"/>
      <c r="H114" s="107">
        <v>97063292.379999995</v>
      </c>
      <c r="N114" s="65"/>
      <c r="O114" s="65"/>
    </row>
    <row r="115" spans="2:15" ht="15" customHeight="1" x14ac:dyDescent="0.25">
      <c r="B115" s="21" t="s">
        <v>44</v>
      </c>
      <c r="C115" s="87"/>
      <c r="D115" s="83">
        <v>18848167.859999999</v>
      </c>
      <c r="E115" s="80"/>
      <c r="F115" s="80"/>
      <c r="G115" s="87"/>
      <c r="H115" s="65">
        <v>18848167.859999999</v>
      </c>
      <c r="N115" s="65"/>
      <c r="O115" s="65"/>
    </row>
    <row r="116" spans="2:15" ht="15" customHeight="1" x14ac:dyDescent="0.25">
      <c r="B116" s="56" t="s">
        <v>45</v>
      </c>
      <c r="C116" s="87"/>
      <c r="D116" s="83">
        <v>18703328.66</v>
      </c>
      <c r="E116" s="79"/>
      <c r="F116" s="79"/>
      <c r="G116" s="87"/>
      <c r="H116" s="65">
        <v>18703328.66</v>
      </c>
      <c r="N116" s="65"/>
      <c r="O116" s="65"/>
    </row>
    <row r="117" spans="2:15" ht="15" customHeight="1" x14ac:dyDescent="0.25">
      <c r="B117" s="56" t="s">
        <v>46</v>
      </c>
      <c r="C117" s="87"/>
      <c r="D117" s="83">
        <v>144839.20000000001</v>
      </c>
      <c r="E117" s="79"/>
      <c r="F117" s="79"/>
      <c r="G117" s="87"/>
      <c r="H117" s="65">
        <v>144839.20000000001</v>
      </c>
      <c r="N117" s="65"/>
      <c r="O117" s="65"/>
    </row>
    <row r="118" spans="2:15" ht="15" customHeight="1" x14ac:dyDescent="0.25">
      <c r="B118" s="2"/>
      <c r="C118" s="87"/>
      <c r="D118" s="87"/>
      <c r="E118" s="86"/>
      <c r="F118" s="86"/>
      <c r="G118" s="87"/>
      <c r="N118" s="65"/>
      <c r="O118" s="65"/>
    </row>
    <row r="119" spans="2:15" ht="15" customHeight="1" x14ac:dyDescent="0.25">
      <c r="B119" s="18" t="s">
        <v>48</v>
      </c>
      <c r="C119" s="87"/>
      <c r="D119" s="119">
        <v>78524368.900000006</v>
      </c>
      <c r="E119" s="120"/>
      <c r="F119" s="121">
        <v>89043.81</v>
      </c>
      <c r="G119" s="122"/>
      <c r="H119" s="123">
        <v>78215124.519999996</v>
      </c>
      <c r="I119" s="109"/>
      <c r="J119" s="63"/>
      <c r="L119" s="63"/>
      <c r="N119" s="65"/>
      <c r="O119" s="65"/>
    </row>
    <row r="120" spans="2:15" ht="15" customHeight="1" x14ac:dyDescent="0.25">
      <c r="B120" s="18" t="s">
        <v>48</v>
      </c>
      <c r="C120" s="87"/>
      <c r="D120" s="119">
        <v>78524368.900000006</v>
      </c>
      <c r="E120" s="120"/>
      <c r="F120" s="121"/>
      <c r="G120" s="122"/>
      <c r="H120" s="123">
        <v>78215124.519999996</v>
      </c>
      <c r="N120" s="65"/>
      <c r="O120" s="65"/>
    </row>
    <row r="121" spans="2:15" ht="15" customHeight="1" x14ac:dyDescent="0.25">
      <c r="B121" s="56" t="s">
        <v>64</v>
      </c>
      <c r="C121" s="87"/>
      <c r="D121" s="114">
        <v>91703581.129999995</v>
      </c>
      <c r="E121" s="115"/>
      <c r="F121" s="116"/>
      <c r="G121" s="122"/>
      <c r="H121" s="110">
        <v>91703581.129999995</v>
      </c>
      <c r="J121" s="109"/>
      <c r="N121" s="65"/>
      <c r="O121" s="65"/>
    </row>
    <row r="122" spans="2:15" ht="15" customHeight="1" x14ac:dyDescent="0.25">
      <c r="B122" s="56" t="s">
        <v>222</v>
      </c>
      <c r="C122" s="87"/>
      <c r="D122" s="114">
        <v>-13179212.23</v>
      </c>
      <c r="E122" s="115"/>
      <c r="F122" s="116">
        <v>89043.81</v>
      </c>
      <c r="G122" s="117"/>
      <c r="H122" s="110">
        <v>-13488456.609999999</v>
      </c>
      <c r="J122" s="109"/>
      <c r="N122" s="65"/>
      <c r="O122" s="65"/>
    </row>
    <row r="123" spans="2:15" ht="15" customHeight="1" x14ac:dyDescent="0.25">
      <c r="B123" s="12"/>
      <c r="C123" s="87"/>
      <c r="D123" s="87"/>
      <c r="E123" s="97"/>
      <c r="F123" s="79"/>
      <c r="H123" s="65"/>
      <c r="N123" s="65"/>
      <c r="O123" s="65"/>
    </row>
    <row r="124" spans="2:15" ht="15" customHeight="1" x14ac:dyDescent="0.25">
      <c r="B124" s="18" t="s">
        <v>66</v>
      </c>
      <c r="C124" s="87"/>
      <c r="D124" s="81"/>
      <c r="E124" s="98"/>
      <c r="F124" s="81">
        <v>43660033.969999999</v>
      </c>
      <c r="G124" s="87"/>
      <c r="H124" s="107">
        <v>45660033.969999999</v>
      </c>
      <c r="N124" s="65"/>
      <c r="O124" s="65"/>
    </row>
    <row r="125" spans="2:15" ht="15" customHeight="1" x14ac:dyDescent="0.25">
      <c r="B125" s="18" t="s">
        <v>249</v>
      </c>
      <c r="C125" s="87"/>
      <c r="D125" s="81"/>
      <c r="E125" s="95"/>
      <c r="F125" s="99">
        <v>45623410.289999999</v>
      </c>
      <c r="G125" s="87"/>
      <c r="H125" s="107">
        <v>45623410.289999999</v>
      </c>
      <c r="N125" s="65"/>
      <c r="O125" s="65"/>
    </row>
    <row r="126" spans="2:15" ht="15" customHeight="1" x14ac:dyDescent="0.25">
      <c r="B126" s="12" t="s">
        <v>143</v>
      </c>
      <c r="C126" s="87"/>
      <c r="D126" s="83"/>
      <c r="E126" s="101"/>
      <c r="F126" s="100">
        <v>45623410.289999999</v>
      </c>
      <c r="G126" s="87"/>
      <c r="H126" s="65">
        <v>45623410.289999999</v>
      </c>
      <c r="N126" s="65"/>
      <c r="O126" s="65"/>
    </row>
    <row r="127" spans="2:15" ht="15" customHeight="1" x14ac:dyDescent="0.25">
      <c r="B127" s="12"/>
      <c r="C127" s="87"/>
      <c r="D127" s="87"/>
      <c r="E127" s="101"/>
      <c r="F127" s="100"/>
      <c r="G127" s="87"/>
      <c r="N127" s="65"/>
      <c r="O127" s="65"/>
    </row>
    <row r="128" spans="2:15" ht="15" customHeight="1" x14ac:dyDescent="0.25">
      <c r="B128" s="18" t="s">
        <v>71</v>
      </c>
      <c r="C128" s="82"/>
      <c r="D128" s="88"/>
      <c r="E128" s="102"/>
      <c r="F128" s="89">
        <v>36623.68</v>
      </c>
      <c r="G128" s="82"/>
      <c r="H128" s="107">
        <v>36623.68</v>
      </c>
      <c r="N128" s="65"/>
      <c r="O128" s="65"/>
    </row>
    <row r="129" spans="2:15" ht="15" customHeight="1" x14ac:dyDescent="0.25">
      <c r="B129" s="12" t="s">
        <v>144</v>
      </c>
      <c r="C129" s="87"/>
      <c r="D129" s="82"/>
      <c r="E129" s="96"/>
      <c r="F129" s="94">
        <v>0.33</v>
      </c>
      <c r="G129" s="87"/>
      <c r="H129" s="65">
        <v>0.33</v>
      </c>
      <c r="N129" s="65"/>
      <c r="O129" s="65"/>
    </row>
    <row r="130" spans="2:15" ht="15" customHeight="1" x14ac:dyDescent="0.25">
      <c r="B130" s="12" t="s">
        <v>145</v>
      </c>
      <c r="C130" s="87"/>
      <c r="D130" s="82"/>
      <c r="E130" s="96"/>
      <c r="F130" s="94">
        <v>36623.35</v>
      </c>
      <c r="G130" s="87"/>
      <c r="H130" s="65">
        <v>36623.35</v>
      </c>
      <c r="N130" s="65"/>
      <c r="O130" s="65"/>
    </row>
    <row r="131" spans="2:15" ht="15" customHeight="1" x14ac:dyDescent="0.25">
      <c r="B131" s="2"/>
      <c r="C131" s="87"/>
      <c r="D131" s="87"/>
      <c r="E131" s="79"/>
      <c r="F131" s="79"/>
      <c r="G131" s="87"/>
      <c r="H131" s="65"/>
      <c r="N131" s="65"/>
      <c r="O131" s="65"/>
    </row>
    <row r="132" spans="2:15" ht="15" customHeight="1" x14ac:dyDescent="0.25">
      <c r="B132" s="18" t="s">
        <v>75</v>
      </c>
      <c r="C132" s="81"/>
      <c r="D132" s="87"/>
      <c r="E132" s="72">
        <v>47165541.719999999</v>
      </c>
      <c r="F132" s="75"/>
      <c r="G132" s="72">
        <v>47165541.719999999</v>
      </c>
      <c r="H132" s="65"/>
      <c r="I132" s="74"/>
      <c r="N132" s="65"/>
      <c r="O132" s="65"/>
    </row>
    <row r="133" spans="2:15" ht="15" customHeight="1" x14ac:dyDescent="0.25">
      <c r="B133" s="18" t="s">
        <v>76</v>
      </c>
      <c r="C133" s="83"/>
      <c r="D133" s="87"/>
      <c r="E133" s="72">
        <v>32095448.920000002</v>
      </c>
      <c r="F133" s="66"/>
      <c r="G133" s="72">
        <v>32095448.920000002</v>
      </c>
      <c r="H133" s="65"/>
      <c r="I133" s="64"/>
      <c r="N133" s="65"/>
      <c r="O133" s="65"/>
    </row>
    <row r="134" spans="2:15" ht="15" customHeight="1" x14ac:dyDescent="0.25">
      <c r="B134" s="18" t="s">
        <v>76</v>
      </c>
      <c r="C134" s="83"/>
      <c r="D134" s="87"/>
      <c r="E134" s="72">
        <v>32095448.920000002</v>
      </c>
      <c r="F134" s="66"/>
      <c r="G134" s="72">
        <v>32095448.920000002</v>
      </c>
      <c r="H134" s="65"/>
      <c r="I134" s="64"/>
      <c r="N134" s="65"/>
      <c r="O134" s="65"/>
    </row>
    <row r="135" spans="2:15" ht="15" customHeight="1" x14ac:dyDescent="0.25">
      <c r="B135" s="21" t="s">
        <v>77</v>
      </c>
      <c r="C135" s="83"/>
      <c r="D135" s="87"/>
      <c r="E135" s="72">
        <v>12333506.93</v>
      </c>
      <c r="F135" s="66"/>
      <c r="G135" s="72">
        <v>12333506.93</v>
      </c>
      <c r="H135" s="65"/>
      <c r="I135" s="64"/>
      <c r="N135" s="65"/>
      <c r="O135" s="65"/>
    </row>
    <row r="136" spans="2:15" ht="15" customHeight="1" x14ac:dyDescent="0.25">
      <c r="B136" s="12" t="s">
        <v>146</v>
      </c>
      <c r="C136" s="83"/>
      <c r="D136" s="87"/>
      <c r="E136" s="73">
        <v>399717.6</v>
      </c>
      <c r="F136" s="66"/>
      <c r="G136" s="73">
        <v>399717.6</v>
      </c>
      <c r="H136" s="65"/>
      <c r="I136" s="64"/>
      <c r="N136" s="65"/>
      <c r="O136" s="65"/>
    </row>
    <row r="137" spans="2:15" ht="15" customHeight="1" x14ac:dyDescent="0.25">
      <c r="B137" s="12" t="s">
        <v>147</v>
      </c>
      <c r="C137" s="83"/>
      <c r="D137" s="87"/>
      <c r="E137" s="73">
        <v>351593.28</v>
      </c>
      <c r="F137" s="66"/>
      <c r="G137" s="73">
        <v>351593.28</v>
      </c>
      <c r="H137" s="65"/>
      <c r="I137" s="64"/>
      <c r="N137" s="65"/>
      <c r="O137" s="65"/>
    </row>
    <row r="138" spans="2:15" ht="15" customHeight="1" x14ac:dyDescent="0.25">
      <c r="B138" s="12" t="s">
        <v>148</v>
      </c>
      <c r="C138" s="83"/>
      <c r="D138" s="87"/>
      <c r="E138" s="73">
        <v>1381102.31</v>
      </c>
      <c r="F138" s="66"/>
      <c r="G138" s="73">
        <v>1381102.31</v>
      </c>
      <c r="H138" s="65"/>
      <c r="I138" s="64"/>
      <c r="N138" s="65"/>
      <c r="O138" s="65"/>
    </row>
    <row r="139" spans="2:15" ht="15" customHeight="1" x14ac:dyDescent="0.25">
      <c r="B139" s="12" t="s">
        <v>149</v>
      </c>
      <c r="C139" s="83"/>
      <c r="D139" s="87"/>
      <c r="E139" s="73">
        <v>432836.22</v>
      </c>
      <c r="F139" s="66"/>
      <c r="G139" s="73">
        <v>432836.22</v>
      </c>
      <c r="H139" s="65"/>
      <c r="I139" s="64"/>
      <c r="N139" s="65"/>
      <c r="O139" s="65"/>
    </row>
    <row r="140" spans="2:15" ht="15" customHeight="1" x14ac:dyDescent="0.25">
      <c r="B140" s="12" t="s">
        <v>150</v>
      </c>
      <c r="C140" s="83"/>
      <c r="D140" s="87"/>
      <c r="E140" s="73">
        <v>263475.21000000002</v>
      </c>
      <c r="F140" s="66"/>
      <c r="G140" s="73">
        <v>263475.21000000002</v>
      </c>
      <c r="H140" s="65"/>
      <c r="I140" s="64"/>
      <c r="N140" s="65"/>
      <c r="O140" s="65"/>
    </row>
    <row r="141" spans="2:15" ht="15" customHeight="1" x14ac:dyDescent="0.25">
      <c r="B141" s="12" t="s">
        <v>151</v>
      </c>
      <c r="C141" s="83"/>
      <c r="D141" s="87"/>
      <c r="E141" s="73">
        <v>778990.81</v>
      </c>
      <c r="F141" s="66"/>
      <c r="G141" s="73">
        <v>778990.81</v>
      </c>
      <c r="H141" s="65"/>
      <c r="I141" s="64"/>
      <c r="N141" s="65"/>
      <c r="O141" s="65"/>
    </row>
    <row r="142" spans="2:15" ht="15" customHeight="1" x14ac:dyDescent="0.25">
      <c r="B142" s="12" t="s">
        <v>152</v>
      </c>
      <c r="C142" s="83"/>
      <c r="D142" s="87"/>
      <c r="E142" s="73">
        <v>320480.93</v>
      </c>
      <c r="F142" s="66"/>
      <c r="G142" s="73">
        <v>320480.93</v>
      </c>
      <c r="H142" s="65"/>
      <c r="I142" s="64"/>
      <c r="N142" s="65"/>
      <c r="O142" s="65"/>
    </row>
    <row r="143" spans="2:15" ht="15" customHeight="1" x14ac:dyDescent="0.25">
      <c r="B143" s="12" t="s">
        <v>153</v>
      </c>
      <c r="C143" s="83"/>
      <c r="D143" s="87"/>
      <c r="E143" s="73">
        <v>279205.39</v>
      </c>
      <c r="F143" s="66"/>
      <c r="G143" s="73">
        <v>279205.39</v>
      </c>
      <c r="H143" s="65"/>
      <c r="I143" s="64"/>
      <c r="N143" s="65"/>
      <c r="O143" s="65"/>
    </row>
    <row r="144" spans="2:15" ht="15" customHeight="1" x14ac:dyDescent="0.25">
      <c r="B144" s="12" t="s">
        <v>154</v>
      </c>
      <c r="C144" s="83"/>
      <c r="D144" s="87"/>
      <c r="E144" s="73">
        <v>227436.91</v>
      </c>
      <c r="F144" s="66"/>
      <c r="G144" s="73">
        <v>227436.91</v>
      </c>
      <c r="H144" s="65"/>
      <c r="I144" s="64"/>
      <c r="N144" s="65"/>
      <c r="O144" s="65"/>
    </row>
    <row r="145" spans="2:15" ht="15" customHeight="1" x14ac:dyDescent="0.25">
      <c r="B145" s="12" t="s">
        <v>155</v>
      </c>
      <c r="C145" s="83"/>
      <c r="D145" s="87"/>
      <c r="E145" s="73">
        <v>255613.26</v>
      </c>
      <c r="F145" s="66"/>
      <c r="G145" s="73">
        <v>255613.26</v>
      </c>
      <c r="H145" s="65"/>
      <c r="I145" s="64"/>
      <c r="N145" s="65"/>
      <c r="O145" s="65"/>
    </row>
    <row r="146" spans="2:15" ht="15" customHeight="1" x14ac:dyDescent="0.25">
      <c r="B146" s="12" t="s">
        <v>156</v>
      </c>
      <c r="C146" s="83"/>
      <c r="D146" s="87"/>
      <c r="E146" s="73">
        <v>505415.39</v>
      </c>
      <c r="F146" s="66"/>
      <c r="G146" s="73">
        <v>505415.39</v>
      </c>
      <c r="H146" s="65"/>
      <c r="I146" s="64"/>
      <c r="N146" s="65"/>
      <c r="O146" s="65"/>
    </row>
    <row r="147" spans="2:15" ht="15" customHeight="1" x14ac:dyDescent="0.25">
      <c r="B147" s="12" t="s">
        <v>157</v>
      </c>
      <c r="C147" s="83"/>
      <c r="D147" s="87"/>
      <c r="E147" s="73">
        <v>303921.69</v>
      </c>
      <c r="F147" s="66"/>
      <c r="G147" s="73">
        <v>303921.69</v>
      </c>
      <c r="H147" s="65"/>
      <c r="I147" s="64"/>
      <c r="N147" s="65"/>
      <c r="O147" s="65"/>
    </row>
    <row r="148" spans="2:15" ht="15" customHeight="1" x14ac:dyDescent="0.25">
      <c r="B148" s="12" t="s">
        <v>158</v>
      </c>
      <c r="C148" s="83"/>
      <c r="D148" s="87"/>
      <c r="E148" s="73">
        <v>134844.84</v>
      </c>
      <c r="F148" s="66"/>
      <c r="G148" s="73">
        <v>134844.84</v>
      </c>
      <c r="H148" s="65"/>
      <c r="I148" s="64"/>
      <c r="N148" s="65"/>
      <c r="O148" s="65"/>
    </row>
    <row r="149" spans="2:15" ht="15" customHeight="1" x14ac:dyDescent="0.25">
      <c r="B149" s="12" t="s">
        <v>159</v>
      </c>
      <c r="C149" s="83"/>
      <c r="D149" s="87"/>
      <c r="E149" s="73">
        <v>124522.62</v>
      </c>
      <c r="F149" s="66"/>
      <c r="G149" s="73">
        <v>124522.62</v>
      </c>
      <c r="H149" s="65"/>
      <c r="I149" s="64"/>
      <c r="N149" s="65"/>
      <c r="O149" s="65"/>
    </row>
    <row r="150" spans="2:15" ht="15" customHeight="1" x14ac:dyDescent="0.25">
      <c r="B150" s="12" t="s">
        <v>160</v>
      </c>
      <c r="C150" s="83"/>
      <c r="D150" s="87"/>
      <c r="E150" s="73">
        <v>293330.99</v>
      </c>
      <c r="F150" s="66"/>
      <c r="G150" s="73">
        <v>293330.99</v>
      </c>
      <c r="H150" s="65"/>
      <c r="I150" s="64"/>
      <c r="N150" s="65"/>
      <c r="O150" s="65"/>
    </row>
    <row r="151" spans="2:15" ht="15" customHeight="1" x14ac:dyDescent="0.25">
      <c r="B151" s="12" t="s">
        <v>161</v>
      </c>
      <c r="C151" s="83"/>
      <c r="D151" s="87"/>
      <c r="E151" s="73">
        <v>241720.44</v>
      </c>
      <c r="F151" s="66"/>
      <c r="G151" s="73">
        <v>241720.44</v>
      </c>
      <c r="H151" s="65"/>
      <c r="I151" s="64"/>
      <c r="N151" s="65"/>
      <c r="O151" s="65"/>
    </row>
    <row r="152" spans="2:15" ht="15" customHeight="1" x14ac:dyDescent="0.25">
      <c r="B152" s="12" t="s">
        <v>162</v>
      </c>
      <c r="C152" s="83"/>
      <c r="D152" s="87"/>
      <c r="E152" s="73">
        <v>106884.37</v>
      </c>
      <c r="F152" s="66"/>
      <c r="G152" s="73">
        <v>106884.37</v>
      </c>
      <c r="H152" s="65"/>
      <c r="I152" s="64"/>
      <c r="N152" s="65"/>
      <c r="O152" s="65"/>
    </row>
    <row r="153" spans="2:15" ht="15" customHeight="1" x14ac:dyDescent="0.25">
      <c r="B153" s="12" t="s">
        <v>163</v>
      </c>
      <c r="C153" s="83"/>
      <c r="D153" s="87"/>
      <c r="E153" s="73">
        <v>271378.03000000003</v>
      </c>
      <c r="F153" s="66"/>
      <c r="G153" s="73">
        <v>271378.03000000003</v>
      </c>
      <c r="H153" s="65"/>
      <c r="I153" s="64"/>
      <c r="N153" s="65"/>
      <c r="O153" s="65"/>
    </row>
    <row r="154" spans="2:15" ht="15" customHeight="1" x14ac:dyDescent="0.25">
      <c r="B154" s="12" t="s">
        <v>164</v>
      </c>
      <c r="C154" s="83"/>
      <c r="D154" s="87"/>
      <c r="E154" s="73">
        <v>312304.59999999998</v>
      </c>
      <c r="F154" s="66"/>
      <c r="G154" s="73">
        <v>312304.59999999998</v>
      </c>
      <c r="H154" s="65"/>
      <c r="I154" s="64"/>
      <c r="N154" s="65"/>
      <c r="O154" s="65"/>
    </row>
    <row r="155" spans="2:15" ht="15" customHeight="1" x14ac:dyDescent="0.25">
      <c r="B155" s="12" t="s">
        <v>165</v>
      </c>
      <c r="C155" s="83"/>
      <c r="D155" s="87"/>
      <c r="E155" s="73">
        <v>402877.3</v>
      </c>
      <c r="F155" s="66"/>
      <c r="G155" s="73">
        <v>402877.3</v>
      </c>
      <c r="H155" s="65"/>
      <c r="I155" s="64"/>
      <c r="N155" s="65"/>
      <c r="O155" s="65"/>
    </row>
    <row r="156" spans="2:15" ht="15" customHeight="1" x14ac:dyDescent="0.25">
      <c r="B156" s="12" t="s">
        <v>166</v>
      </c>
      <c r="C156" s="83"/>
      <c r="D156" s="87"/>
      <c r="E156" s="73">
        <v>174873.68</v>
      </c>
      <c r="F156" s="66"/>
      <c r="G156" s="73">
        <v>174873.68</v>
      </c>
      <c r="H156" s="65"/>
      <c r="I156" s="64"/>
      <c r="N156" s="65"/>
      <c r="O156" s="65"/>
    </row>
    <row r="157" spans="2:15" ht="15" customHeight="1" x14ac:dyDescent="0.25">
      <c r="B157" s="12" t="s">
        <v>167</v>
      </c>
      <c r="C157" s="83"/>
      <c r="D157" s="87"/>
      <c r="E157" s="73">
        <v>85503.12</v>
      </c>
      <c r="F157" s="66"/>
      <c r="G157" s="73">
        <v>85503.12</v>
      </c>
      <c r="H157" s="65"/>
      <c r="I157" s="64"/>
      <c r="N157" s="65"/>
      <c r="O157" s="65"/>
    </row>
    <row r="158" spans="2:15" ht="15" customHeight="1" x14ac:dyDescent="0.25">
      <c r="B158" s="12" t="s">
        <v>168</v>
      </c>
      <c r="C158" s="83"/>
      <c r="D158" s="87"/>
      <c r="E158" s="73">
        <v>296809.13</v>
      </c>
      <c r="F158" s="66"/>
      <c r="G158" s="73">
        <v>296809.13</v>
      </c>
      <c r="H158" s="65"/>
      <c r="I158" s="64"/>
      <c r="N158" s="65"/>
      <c r="O158" s="65"/>
    </row>
    <row r="159" spans="2:15" ht="15" customHeight="1" x14ac:dyDescent="0.25">
      <c r="B159" s="12" t="s">
        <v>169</v>
      </c>
      <c r="C159" s="83"/>
      <c r="D159" s="87"/>
      <c r="E159" s="73">
        <v>221943.26</v>
      </c>
      <c r="F159" s="66"/>
      <c r="G159" s="73">
        <v>221943.26</v>
      </c>
      <c r="H159" s="65"/>
      <c r="I159" s="64"/>
      <c r="N159" s="65"/>
      <c r="O159" s="65"/>
    </row>
    <row r="160" spans="2:15" ht="15" customHeight="1" x14ac:dyDescent="0.25">
      <c r="B160" s="12" t="s">
        <v>170</v>
      </c>
      <c r="C160" s="83"/>
      <c r="D160" s="87"/>
      <c r="E160" s="73">
        <v>101083.08</v>
      </c>
      <c r="F160" s="66"/>
      <c r="G160" s="73">
        <v>101083.08</v>
      </c>
      <c r="I160" s="64"/>
    </row>
    <row r="161" spans="2:9" ht="15" customHeight="1" x14ac:dyDescent="0.25">
      <c r="B161" s="12" t="s">
        <v>171</v>
      </c>
      <c r="C161" s="83"/>
      <c r="D161" s="87"/>
      <c r="E161" s="73">
        <v>156642.16</v>
      </c>
      <c r="F161" s="66"/>
      <c r="G161" s="73">
        <v>156642.16</v>
      </c>
      <c r="I161" s="64"/>
    </row>
    <row r="162" spans="2:9" ht="15" customHeight="1" x14ac:dyDescent="0.25">
      <c r="B162" s="12" t="s">
        <v>172</v>
      </c>
      <c r="C162" s="83"/>
      <c r="D162" s="87"/>
      <c r="E162" s="73">
        <v>483440.76</v>
      </c>
      <c r="F162" s="66"/>
      <c r="G162" s="73">
        <v>483440.76</v>
      </c>
      <c r="I162" s="64"/>
    </row>
    <row r="163" spans="2:9" ht="15" customHeight="1" x14ac:dyDescent="0.25">
      <c r="B163" s="12" t="s">
        <v>173</v>
      </c>
      <c r="C163" s="83"/>
      <c r="D163" s="87"/>
      <c r="E163" s="73">
        <v>156129.42000000001</v>
      </c>
      <c r="F163" s="66"/>
      <c r="G163" s="73">
        <v>156129.42000000001</v>
      </c>
      <c r="H163" s="87"/>
      <c r="I163" s="64"/>
    </row>
    <row r="164" spans="2:9" ht="15" customHeight="1" x14ac:dyDescent="0.25">
      <c r="B164" s="12" t="s">
        <v>174</v>
      </c>
      <c r="C164" s="83"/>
      <c r="D164" s="87"/>
      <c r="E164" s="73">
        <v>101083.08</v>
      </c>
      <c r="F164" s="66"/>
      <c r="G164" s="73">
        <v>101083.08</v>
      </c>
      <c r="H164" s="87"/>
      <c r="I164" s="64"/>
    </row>
    <row r="165" spans="2:9" ht="15" customHeight="1" x14ac:dyDescent="0.25">
      <c r="B165" s="12" t="s">
        <v>175</v>
      </c>
      <c r="C165" s="83"/>
      <c r="D165" s="87"/>
      <c r="E165" s="73">
        <v>109872.96000000001</v>
      </c>
      <c r="F165" s="66"/>
      <c r="G165" s="73">
        <v>109872.96000000001</v>
      </c>
      <c r="H165" s="87"/>
      <c r="I165" s="64"/>
    </row>
    <row r="166" spans="2:9" ht="15" customHeight="1" x14ac:dyDescent="0.25">
      <c r="B166" s="12" t="s">
        <v>176</v>
      </c>
      <c r="C166" s="83"/>
      <c r="D166" s="87"/>
      <c r="E166" s="73">
        <v>87407.7</v>
      </c>
      <c r="F166" s="66"/>
      <c r="G166" s="73">
        <v>87407.7</v>
      </c>
      <c r="H166" s="87"/>
      <c r="I166" s="64"/>
    </row>
    <row r="167" spans="2:9" ht="15" customHeight="1" x14ac:dyDescent="0.25">
      <c r="B167" s="12" t="s">
        <v>177</v>
      </c>
      <c r="C167" s="83"/>
      <c r="D167" s="87"/>
      <c r="E167" s="73">
        <v>828150.51</v>
      </c>
      <c r="F167" s="66"/>
      <c r="G167" s="73">
        <v>828150.51</v>
      </c>
      <c r="H167" s="87"/>
      <c r="I167" s="64"/>
    </row>
    <row r="168" spans="2:9" ht="15" customHeight="1" x14ac:dyDescent="0.25">
      <c r="B168" s="12" t="s">
        <v>178</v>
      </c>
      <c r="C168" s="83"/>
      <c r="D168" s="87"/>
      <c r="E168" s="73">
        <v>174787.98</v>
      </c>
      <c r="F168" s="66"/>
      <c r="G168" s="73">
        <v>174787.98</v>
      </c>
      <c r="H168" s="87"/>
      <c r="I168" s="64"/>
    </row>
    <row r="169" spans="2:9" ht="15" customHeight="1" x14ac:dyDescent="0.25">
      <c r="B169" s="12" t="s">
        <v>179</v>
      </c>
      <c r="C169" s="83"/>
      <c r="D169" s="87"/>
      <c r="E169" s="73">
        <v>100204.08</v>
      </c>
      <c r="F169" s="66"/>
      <c r="G169" s="73">
        <v>100204.08</v>
      </c>
      <c r="H169" s="87"/>
      <c r="I169" s="64"/>
    </row>
    <row r="170" spans="2:9" ht="15" customHeight="1" x14ac:dyDescent="0.25">
      <c r="B170" s="57" t="s">
        <v>180</v>
      </c>
      <c r="C170" s="83"/>
      <c r="D170" s="87"/>
      <c r="E170" s="73">
        <v>147046.57</v>
      </c>
      <c r="F170" s="66"/>
      <c r="G170" s="73">
        <v>147046.57</v>
      </c>
      <c r="H170" s="87"/>
      <c r="I170" s="64"/>
    </row>
    <row r="171" spans="2:9" ht="15" customHeight="1" x14ac:dyDescent="0.25">
      <c r="B171" s="57" t="s">
        <v>225</v>
      </c>
      <c r="C171" s="83"/>
      <c r="D171" s="87"/>
      <c r="E171" s="73">
        <v>173782.31</v>
      </c>
      <c r="F171" s="66"/>
      <c r="G171" s="73">
        <v>173782.31</v>
      </c>
      <c r="H171" s="87"/>
      <c r="I171" s="64"/>
    </row>
    <row r="172" spans="2:9" ht="15" customHeight="1" x14ac:dyDescent="0.25">
      <c r="B172" s="12" t="s">
        <v>181</v>
      </c>
      <c r="C172" s="83"/>
      <c r="D172" s="87"/>
      <c r="E172" s="73">
        <v>103966.08</v>
      </c>
      <c r="F172" s="66"/>
      <c r="G172" s="73">
        <v>103966.08</v>
      </c>
      <c r="H172" s="87"/>
      <c r="I172" s="64"/>
    </row>
    <row r="173" spans="2:9" ht="15" customHeight="1" x14ac:dyDescent="0.25">
      <c r="B173" s="12" t="s">
        <v>182</v>
      </c>
      <c r="C173" s="83"/>
      <c r="D173" s="87"/>
      <c r="E173" s="73">
        <v>153822.12</v>
      </c>
      <c r="F173" s="66"/>
      <c r="G173" s="73">
        <v>153822.12</v>
      </c>
      <c r="H173" s="87"/>
      <c r="I173" s="64"/>
    </row>
    <row r="174" spans="2:9" ht="15" customHeight="1" x14ac:dyDescent="0.25">
      <c r="B174" s="12" t="s">
        <v>183</v>
      </c>
      <c r="C174" s="83"/>
      <c r="D174" s="87"/>
      <c r="E174" s="73">
        <v>150306.12</v>
      </c>
      <c r="F174" s="66"/>
      <c r="G174" s="73">
        <v>150306.12</v>
      </c>
      <c r="H174" s="87"/>
      <c r="I174" s="64"/>
    </row>
    <row r="175" spans="2:9" ht="15" customHeight="1" x14ac:dyDescent="0.25">
      <c r="B175" s="12" t="s">
        <v>184</v>
      </c>
      <c r="C175" s="83"/>
      <c r="D175" s="87"/>
      <c r="E175" s="73">
        <v>159821.16</v>
      </c>
      <c r="F175" s="66"/>
      <c r="G175" s="73">
        <v>159821.16</v>
      </c>
      <c r="H175" s="87"/>
      <c r="I175" s="64"/>
    </row>
    <row r="176" spans="2:9" ht="15" customHeight="1" x14ac:dyDescent="0.25">
      <c r="B176" s="12" t="s">
        <v>185</v>
      </c>
      <c r="C176" s="83"/>
      <c r="D176" s="87"/>
      <c r="E176" s="73">
        <v>99984.36</v>
      </c>
      <c r="F176" s="66"/>
      <c r="G176" s="73">
        <v>99984.36</v>
      </c>
      <c r="H176" s="87"/>
      <c r="I176" s="64"/>
    </row>
    <row r="177" spans="2:9" ht="15" customHeight="1" x14ac:dyDescent="0.25">
      <c r="B177" s="12" t="s">
        <v>223</v>
      </c>
      <c r="C177" s="83"/>
      <c r="D177" s="87"/>
      <c r="E177" s="73">
        <v>129869.75999999999</v>
      </c>
      <c r="F177" s="66"/>
      <c r="G177" s="73">
        <v>129869.75999999999</v>
      </c>
      <c r="H177" s="87"/>
      <c r="I177" s="64"/>
    </row>
    <row r="178" spans="2:9" ht="15" customHeight="1" x14ac:dyDescent="0.25">
      <c r="B178" s="12" t="s">
        <v>224</v>
      </c>
      <c r="C178" s="83"/>
      <c r="D178" s="87"/>
      <c r="E178" s="73">
        <v>199944.72</v>
      </c>
      <c r="F178" s="66"/>
      <c r="G178" s="73">
        <v>199944.72</v>
      </c>
      <c r="H178" s="87"/>
      <c r="I178" s="64"/>
    </row>
    <row r="179" spans="2:9" ht="15" customHeight="1" x14ac:dyDescent="0.25">
      <c r="B179" s="64" t="s">
        <v>239</v>
      </c>
      <c r="C179" s="83"/>
      <c r="D179" s="87"/>
      <c r="E179" s="73">
        <v>349614.1</v>
      </c>
      <c r="F179" s="66"/>
      <c r="G179" s="73">
        <v>349614.1</v>
      </c>
      <c r="H179" s="87"/>
      <c r="I179" s="64"/>
    </row>
    <row r="180" spans="2:9" ht="15" customHeight="1" x14ac:dyDescent="0.25">
      <c r="B180" s="64" t="s">
        <v>240</v>
      </c>
      <c r="C180" s="83"/>
      <c r="D180" s="87"/>
      <c r="E180" s="73">
        <v>199766.52</v>
      </c>
      <c r="F180" s="66"/>
      <c r="G180" s="73">
        <v>199766.52</v>
      </c>
      <c r="H180" s="87"/>
      <c r="I180" s="64"/>
    </row>
    <row r="181" spans="2:9" ht="15" customHeight="1" x14ac:dyDescent="0.25">
      <c r="B181" s="2"/>
      <c r="C181" s="87"/>
      <c r="D181" s="87"/>
      <c r="F181" s="87"/>
      <c r="H181" s="87"/>
      <c r="I181" s="64"/>
    </row>
    <row r="182" spans="2:9" ht="15" customHeight="1" x14ac:dyDescent="0.25">
      <c r="B182" s="18" t="s">
        <v>78</v>
      </c>
      <c r="C182" s="81"/>
      <c r="D182" s="87"/>
      <c r="E182" s="72">
        <v>1974955.82</v>
      </c>
      <c r="F182" s="75"/>
      <c r="G182" s="72">
        <v>1974955.82</v>
      </c>
      <c r="H182" s="87"/>
      <c r="I182" s="64"/>
    </row>
    <row r="183" spans="2:9" ht="15" customHeight="1" x14ac:dyDescent="0.25">
      <c r="B183" s="12" t="s">
        <v>186</v>
      </c>
      <c r="C183" s="83"/>
      <c r="D183" s="87"/>
      <c r="E183" s="73">
        <v>1967066.4</v>
      </c>
      <c r="F183" s="66"/>
      <c r="G183" s="73">
        <v>1967066.4</v>
      </c>
      <c r="H183" s="87"/>
      <c r="I183" s="64"/>
    </row>
    <row r="184" spans="2:9" ht="15" customHeight="1" x14ac:dyDescent="0.25">
      <c r="B184" s="12" t="s">
        <v>187</v>
      </c>
      <c r="C184" s="83"/>
      <c r="D184" s="87"/>
      <c r="E184" s="73">
        <v>7889.42</v>
      </c>
      <c r="F184" s="66"/>
      <c r="G184" s="73">
        <v>7889.42</v>
      </c>
      <c r="H184" s="87"/>
      <c r="I184" s="64"/>
    </row>
    <row r="185" spans="2:9" ht="15" customHeight="1" x14ac:dyDescent="0.25">
      <c r="B185" s="2"/>
      <c r="C185" s="87"/>
      <c r="D185" s="87"/>
      <c r="F185" s="87"/>
      <c r="H185" s="87"/>
      <c r="I185" s="64"/>
    </row>
    <row r="186" spans="2:9" ht="15" customHeight="1" x14ac:dyDescent="0.25">
      <c r="B186" s="75" t="s">
        <v>79</v>
      </c>
      <c r="C186" s="81"/>
      <c r="D186" s="87"/>
      <c r="E186" s="72">
        <v>14193342.109999999</v>
      </c>
      <c r="F186" s="87"/>
      <c r="G186" s="72">
        <v>14193342.109999999</v>
      </c>
      <c r="H186" s="87"/>
      <c r="I186" s="64"/>
    </row>
    <row r="187" spans="2:9" ht="15" customHeight="1" x14ac:dyDescent="0.25">
      <c r="B187" s="64" t="s">
        <v>146</v>
      </c>
      <c r="C187" s="83"/>
      <c r="D187" s="87"/>
      <c r="E187" s="73">
        <v>622607.5</v>
      </c>
      <c r="F187" s="87"/>
      <c r="G187" s="73">
        <v>622607.5</v>
      </c>
      <c r="H187" s="87"/>
      <c r="I187" s="64"/>
    </row>
    <row r="188" spans="2:9" ht="15" customHeight="1" x14ac:dyDescent="0.25">
      <c r="B188" s="64" t="s">
        <v>147</v>
      </c>
      <c r="C188" s="83"/>
      <c r="D188" s="87"/>
      <c r="E188" s="73">
        <v>432315</v>
      </c>
      <c r="F188" s="87"/>
      <c r="G188" s="73">
        <v>432315</v>
      </c>
      <c r="H188" s="87"/>
      <c r="I188" s="64"/>
    </row>
    <row r="189" spans="2:9" ht="15" customHeight="1" x14ac:dyDescent="0.25">
      <c r="B189" s="64" t="s">
        <v>148</v>
      </c>
      <c r="C189" s="83"/>
      <c r="D189" s="87"/>
      <c r="E189" s="73">
        <v>700683.04</v>
      </c>
      <c r="F189" s="87"/>
      <c r="G189" s="73">
        <v>700683.04</v>
      </c>
      <c r="H189" s="87"/>
      <c r="I189" s="64"/>
    </row>
    <row r="190" spans="2:9" ht="15" customHeight="1" x14ac:dyDescent="0.25">
      <c r="B190" s="64" t="s">
        <v>149</v>
      </c>
      <c r="C190" s="83"/>
      <c r="D190" s="87"/>
      <c r="E190" s="73">
        <v>340520.27</v>
      </c>
      <c r="F190" s="87"/>
      <c r="G190" s="73">
        <v>340520.27</v>
      </c>
      <c r="H190" s="87"/>
      <c r="I190" s="64"/>
    </row>
    <row r="191" spans="2:9" ht="15" customHeight="1" x14ac:dyDescent="0.25">
      <c r="B191" s="64" t="s">
        <v>150</v>
      </c>
      <c r="C191" s="83"/>
      <c r="D191" s="87"/>
      <c r="E191" s="73">
        <v>617230.30000000005</v>
      </c>
      <c r="F191" s="87"/>
      <c r="G191" s="73">
        <v>617230.30000000005</v>
      </c>
      <c r="H191" s="87"/>
      <c r="I191" s="64"/>
    </row>
    <row r="192" spans="2:9" ht="15" customHeight="1" x14ac:dyDescent="0.25">
      <c r="B192" s="64" t="s">
        <v>151</v>
      </c>
      <c r="C192" s="83"/>
      <c r="D192" s="87"/>
      <c r="E192" s="73">
        <v>399060</v>
      </c>
      <c r="F192" s="87"/>
      <c r="G192" s="73">
        <v>399060</v>
      </c>
      <c r="H192" s="87"/>
      <c r="I192" s="64"/>
    </row>
    <row r="193" spans="2:9" ht="15" customHeight="1" x14ac:dyDescent="0.25">
      <c r="B193" s="64" t="s">
        <v>152</v>
      </c>
      <c r="C193" s="83"/>
      <c r="D193" s="87"/>
      <c r="E193" s="73">
        <v>470636.16</v>
      </c>
      <c r="F193" s="87"/>
      <c r="G193" s="73">
        <v>470636.16</v>
      </c>
      <c r="H193" s="87"/>
      <c r="I193" s="64"/>
    </row>
    <row r="194" spans="2:9" ht="15" customHeight="1" x14ac:dyDescent="0.25">
      <c r="B194" s="64" t="s">
        <v>153</v>
      </c>
      <c r="C194" s="83"/>
      <c r="D194" s="87"/>
      <c r="E194" s="73">
        <v>399060</v>
      </c>
      <c r="F194" s="87"/>
      <c r="G194" s="73">
        <v>399060</v>
      </c>
      <c r="H194" s="87"/>
      <c r="I194" s="64"/>
    </row>
    <row r="195" spans="2:9" ht="15" customHeight="1" x14ac:dyDescent="0.25">
      <c r="B195" s="64" t="s">
        <v>154</v>
      </c>
      <c r="C195" s="83"/>
      <c r="D195" s="87"/>
      <c r="E195" s="73">
        <v>351948.75</v>
      </c>
      <c r="F195" s="87"/>
      <c r="G195" s="73">
        <v>351948.75</v>
      </c>
      <c r="H195" s="87"/>
      <c r="I195" s="64"/>
    </row>
    <row r="196" spans="2:9" ht="15" customHeight="1" x14ac:dyDescent="0.25">
      <c r="B196" s="64" t="s">
        <v>155</v>
      </c>
      <c r="C196" s="83"/>
      <c r="D196" s="87"/>
      <c r="E196" s="73">
        <v>657875.30000000005</v>
      </c>
      <c r="F196" s="87"/>
      <c r="G196" s="73">
        <v>657875.30000000005</v>
      </c>
      <c r="H196" s="87"/>
      <c r="I196" s="64"/>
    </row>
    <row r="197" spans="2:9" ht="15" customHeight="1" x14ac:dyDescent="0.25">
      <c r="B197" s="64" t="s">
        <v>156</v>
      </c>
      <c r="C197" s="83"/>
      <c r="D197" s="87"/>
      <c r="E197" s="73">
        <v>1028133.75</v>
      </c>
      <c r="F197" s="87"/>
      <c r="G197" s="73">
        <v>1028133.75</v>
      </c>
      <c r="H197" s="87"/>
      <c r="I197" s="64"/>
    </row>
    <row r="198" spans="2:9" ht="15" customHeight="1" x14ac:dyDescent="0.25">
      <c r="B198" s="64" t="s">
        <v>157</v>
      </c>
      <c r="C198" s="83"/>
      <c r="D198" s="87"/>
      <c r="E198" s="73">
        <v>299405.2</v>
      </c>
      <c r="F198" s="87"/>
      <c r="G198" s="73">
        <v>299405.2</v>
      </c>
      <c r="H198" s="87"/>
      <c r="I198" s="64"/>
    </row>
    <row r="199" spans="2:9" ht="15" customHeight="1" x14ac:dyDescent="0.25">
      <c r="B199" s="64" t="s">
        <v>241</v>
      </c>
      <c r="C199" s="83"/>
      <c r="D199" s="87"/>
      <c r="E199" s="73">
        <v>199530</v>
      </c>
      <c r="F199" s="87"/>
      <c r="G199" s="73">
        <v>199530</v>
      </c>
      <c r="H199" s="87"/>
      <c r="I199" s="64"/>
    </row>
    <row r="200" spans="2:9" ht="15" customHeight="1" x14ac:dyDescent="0.25">
      <c r="B200" s="64" t="s">
        <v>188</v>
      </c>
      <c r="C200" s="83"/>
      <c r="D200" s="87"/>
      <c r="E200" s="73">
        <v>399060</v>
      </c>
      <c r="F200" s="87"/>
      <c r="G200" s="73">
        <v>399060</v>
      </c>
      <c r="H200" s="87"/>
      <c r="I200" s="64"/>
    </row>
    <row r="201" spans="2:9" ht="15" customHeight="1" x14ac:dyDescent="0.25">
      <c r="B201" s="64" t="s">
        <v>160</v>
      </c>
      <c r="C201" s="83"/>
      <c r="D201" s="87"/>
      <c r="E201" s="73">
        <v>631845</v>
      </c>
      <c r="F201" s="87"/>
      <c r="G201" s="73">
        <v>631845</v>
      </c>
      <c r="H201" s="87"/>
      <c r="I201" s="64"/>
    </row>
    <row r="202" spans="2:9" ht="15" customHeight="1" x14ac:dyDescent="0.25">
      <c r="B202" s="64" t="s">
        <v>161</v>
      </c>
      <c r="C202" s="83"/>
      <c r="D202" s="87"/>
      <c r="E202" s="73">
        <v>433686.16</v>
      </c>
      <c r="F202" s="87"/>
      <c r="G202" s="73">
        <v>433686.16</v>
      </c>
      <c r="H202" s="87"/>
      <c r="I202" s="64"/>
    </row>
    <row r="203" spans="2:9" ht="15" customHeight="1" x14ac:dyDescent="0.25">
      <c r="B203" s="64" t="s">
        <v>189</v>
      </c>
      <c r="C203" s="83"/>
      <c r="D203" s="87"/>
      <c r="E203" s="73">
        <v>236533.72</v>
      </c>
      <c r="F203" s="87"/>
      <c r="G203" s="73">
        <v>236533.72</v>
      </c>
      <c r="H203" s="87"/>
      <c r="I203" s="64"/>
    </row>
    <row r="204" spans="2:9" ht="15" customHeight="1" x14ac:dyDescent="0.25">
      <c r="B204" s="64" t="s">
        <v>242</v>
      </c>
      <c r="C204" s="83"/>
      <c r="D204" s="87"/>
      <c r="E204" s="73">
        <v>3330002.8</v>
      </c>
      <c r="F204" s="87"/>
      <c r="G204" s="73">
        <v>3330002.8</v>
      </c>
      <c r="H204" s="87"/>
      <c r="I204" s="64"/>
    </row>
    <row r="205" spans="2:9" ht="15" customHeight="1" x14ac:dyDescent="0.25">
      <c r="B205" s="64" t="s">
        <v>167</v>
      </c>
      <c r="C205" s="83"/>
      <c r="D205" s="87"/>
      <c r="E205" s="73">
        <v>74430.06</v>
      </c>
      <c r="F205" s="87"/>
      <c r="G205" s="73">
        <v>74430.06</v>
      </c>
      <c r="H205" s="87"/>
      <c r="I205" s="64"/>
    </row>
    <row r="206" spans="2:9" ht="15" customHeight="1" x14ac:dyDescent="0.25">
      <c r="B206" s="64" t="s">
        <v>190</v>
      </c>
      <c r="C206" s="83"/>
      <c r="D206" s="87"/>
      <c r="E206" s="73">
        <v>548707.5</v>
      </c>
      <c r="F206" s="87"/>
      <c r="G206" s="73">
        <v>548707.5</v>
      </c>
      <c r="H206" s="87"/>
      <c r="I206" s="64"/>
    </row>
    <row r="207" spans="2:9" ht="15" customHeight="1" x14ac:dyDescent="0.25">
      <c r="B207" s="64" t="s">
        <v>172</v>
      </c>
      <c r="C207" s="83"/>
      <c r="D207" s="87"/>
      <c r="E207" s="73">
        <v>363481.16</v>
      </c>
      <c r="F207" s="87"/>
      <c r="G207" s="73">
        <v>363481.16</v>
      </c>
      <c r="H207" s="87"/>
      <c r="I207" s="64"/>
    </row>
    <row r="208" spans="2:9" ht="15" customHeight="1" x14ac:dyDescent="0.25">
      <c r="B208" s="64" t="s">
        <v>171</v>
      </c>
      <c r="C208" s="83"/>
      <c r="D208" s="87"/>
      <c r="E208" s="73">
        <v>365805</v>
      </c>
      <c r="F208" s="87"/>
      <c r="G208" s="73">
        <v>365805</v>
      </c>
      <c r="H208" s="87"/>
      <c r="I208" s="64"/>
    </row>
    <row r="209" spans="2:9" ht="15" customHeight="1" x14ac:dyDescent="0.25">
      <c r="B209" s="64" t="s">
        <v>174</v>
      </c>
      <c r="C209" s="83"/>
      <c r="D209" s="87"/>
      <c r="E209" s="73">
        <v>318141.15999999997</v>
      </c>
      <c r="F209" s="87"/>
      <c r="G209" s="73">
        <v>318141.15999999997</v>
      </c>
      <c r="H209" s="87"/>
      <c r="I209" s="64"/>
    </row>
    <row r="210" spans="2:9" ht="15" customHeight="1" x14ac:dyDescent="0.25">
      <c r="B210" s="64" t="s">
        <v>176</v>
      </c>
      <c r="C210" s="83"/>
      <c r="D210" s="87"/>
      <c r="E210" s="73">
        <v>199530</v>
      </c>
      <c r="F210" s="87"/>
      <c r="G210" s="73">
        <v>199530</v>
      </c>
      <c r="H210" s="87"/>
      <c r="I210" s="64"/>
    </row>
    <row r="211" spans="2:9" ht="15" customHeight="1" x14ac:dyDescent="0.25">
      <c r="B211" s="64" t="s">
        <v>173</v>
      </c>
      <c r="C211" s="83"/>
      <c r="D211" s="87"/>
      <c r="E211" s="73">
        <v>91112.66</v>
      </c>
      <c r="F211" s="87"/>
      <c r="G211" s="73">
        <v>91112.66</v>
      </c>
      <c r="H211" s="87"/>
      <c r="I211" s="64"/>
    </row>
    <row r="212" spans="2:9" ht="15" customHeight="1" x14ac:dyDescent="0.25">
      <c r="B212" s="64" t="s">
        <v>191</v>
      </c>
      <c r="C212" s="83"/>
      <c r="D212" s="87"/>
      <c r="E212" s="73">
        <v>197206.16</v>
      </c>
      <c r="F212" s="87"/>
      <c r="G212" s="73">
        <v>197206.16</v>
      </c>
      <c r="H212" s="87"/>
      <c r="I212" s="64"/>
    </row>
    <row r="213" spans="2:9" ht="15" customHeight="1" x14ac:dyDescent="0.25">
      <c r="B213" s="64" t="s">
        <v>182</v>
      </c>
      <c r="C213" s="83"/>
      <c r="D213" s="87"/>
      <c r="E213" s="73">
        <v>343635</v>
      </c>
      <c r="F213" s="87"/>
      <c r="G213" s="73">
        <v>343635</v>
      </c>
      <c r="H213" s="87"/>
      <c r="I213" s="64"/>
    </row>
    <row r="214" spans="2:9" ht="15" customHeight="1" x14ac:dyDescent="0.25">
      <c r="B214" s="64" t="s">
        <v>184</v>
      </c>
      <c r="C214" s="83"/>
      <c r="D214" s="87"/>
      <c r="E214" s="73">
        <v>41706.5</v>
      </c>
      <c r="F214" s="87"/>
      <c r="G214" s="73">
        <v>41706.5</v>
      </c>
      <c r="H214" s="87"/>
      <c r="I214" s="64"/>
    </row>
    <row r="215" spans="2:9" ht="15" customHeight="1" x14ac:dyDescent="0.25">
      <c r="B215" s="64" t="s">
        <v>227</v>
      </c>
      <c r="C215" s="83"/>
      <c r="D215" s="87"/>
      <c r="E215" s="73">
        <v>99453.96</v>
      </c>
      <c r="F215" s="87"/>
      <c r="G215" s="73">
        <v>99453.96</v>
      </c>
      <c r="H215" s="87"/>
      <c r="I215" s="64"/>
    </row>
    <row r="216" spans="2:9" ht="15" customHeight="1" x14ac:dyDescent="0.25">
      <c r="B216" s="12"/>
      <c r="C216" s="87"/>
      <c r="D216" s="87"/>
      <c r="F216" s="87"/>
      <c r="H216" s="87"/>
      <c r="I216" s="64"/>
    </row>
    <row r="217" spans="2:9" ht="15" customHeight="1" x14ac:dyDescent="0.25">
      <c r="B217" s="18" t="s">
        <v>80</v>
      </c>
      <c r="C217" s="81"/>
      <c r="D217" s="87"/>
      <c r="E217" s="72">
        <v>353949.78</v>
      </c>
      <c r="F217" s="66"/>
      <c r="G217" s="72">
        <v>353949.78</v>
      </c>
      <c r="H217" s="87"/>
      <c r="I217" s="64"/>
    </row>
    <row r="218" spans="2:9" ht="15" customHeight="1" x14ac:dyDescent="0.25">
      <c r="B218" s="12" t="s">
        <v>192</v>
      </c>
      <c r="C218" s="83"/>
      <c r="D218" s="87"/>
      <c r="E218" s="73">
        <v>219745.8</v>
      </c>
      <c r="F218" s="66"/>
      <c r="G218" s="73">
        <v>219745.8</v>
      </c>
      <c r="H218" s="87"/>
      <c r="I218" s="64"/>
    </row>
    <row r="219" spans="2:9" ht="15" customHeight="1" x14ac:dyDescent="0.25">
      <c r="B219" s="12" t="s">
        <v>193</v>
      </c>
      <c r="C219" s="83"/>
      <c r="D219" s="87"/>
      <c r="E219" s="73">
        <v>126203.98</v>
      </c>
      <c r="F219" s="66"/>
      <c r="G219" s="73">
        <v>126203.98</v>
      </c>
      <c r="H219" s="87"/>
      <c r="I219" s="64"/>
    </row>
    <row r="220" spans="2:9" ht="15" customHeight="1" x14ac:dyDescent="0.25">
      <c r="B220" s="64" t="s">
        <v>243</v>
      </c>
      <c r="C220" s="83"/>
      <c r="D220" s="87"/>
      <c r="E220" s="73">
        <v>8000</v>
      </c>
      <c r="F220" s="87"/>
      <c r="G220" s="73">
        <v>8000</v>
      </c>
      <c r="H220" s="87"/>
      <c r="I220" s="64"/>
    </row>
    <row r="221" spans="2:9" ht="15" customHeight="1" x14ac:dyDescent="0.25">
      <c r="B221" s="12" t="s">
        <v>226</v>
      </c>
      <c r="C221" s="83"/>
      <c r="D221" s="87"/>
      <c r="F221" s="66"/>
      <c r="H221" s="87"/>
      <c r="I221" s="64"/>
    </row>
    <row r="222" spans="2:9" ht="15" customHeight="1" x14ac:dyDescent="0.25">
      <c r="B222" s="2"/>
      <c r="C222" s="87"/>
      <c r="D222" s="87"/>
      <c r="F222" s="87"/>
      <c r="H222" s="87"/>
      <c r="I222" s="64"/>
    </row>
    <row r="223" spans="2:9" ht="15" customHeight="1" x14ac:dyDescent="0.25">
      <c r="B223" s="21" t="s">
        <v>83</v>
      </c>
      <c r="C223" s="81"/>
      <c r="D223" s="87"/>
      <c r="E223" s="72">
        <v>1559515.13</v>
      </c>
      <c r="F223" s="87"/>
      <c r="G223" s="72">
        <v>1559515.13</v>
      </c>
      <c r="H223" s="87"/>
      <c r="I223" s="64"/>
    </row>
    <row r="224" spans="2:9" ht="15" customHeight="1" x14ac:dyDescent="0.25">
      <c r="B224" s="64" t="s">
        <v>131</v>
      </c>
      <c r="C224" s="83"/>
      <c r="D224" s="87"/>
      <c r="E224" s="73">
        <v>1505203.45</v>
      </c>
      <c r="F224" s="87"/>
      <c r="G224" s="73">
        <v>1505203.45</v>
      </c>
      <c r="H224" s="87"/>
      <c r="I224" s="64"/>
    </row>
    <row r="225" spans="2:9" ht="15" customHeight="1" x14ac:dyDescent="0.25">
      <c r="B225" s="64" t="s">
        <v>190</v>
      </c>
      <c r="C225" s="83"/>
      <c r="D225" s="87"/>
      <c r="E225" s="73">
        <v>39311.68</v>
      </c>
      <c r="F225" s="87"/>
      <c r="G225" s="73">
        <v>39311.68</v>
      </c>
      <c r="H225" s="87"/>
      <c r="I225" s="64"/>
    </row>
    <row r="226" spans="2:9" ht="15" customHeight="1" x14ac:dyDescent="0.25">
      <c r="B226" s="64" t="s">
        <v>151</v>
      </c>
      <c r="C226" s="83"/>
      <c r="D226" s="87"/>
      <c r="F226" s="87"/>
      <c r="H226" s="87"/>
      <c r="I226" s="64"/>
    </row>
    <row r="227" spans="2:9" ht="15" customHeight="1" x14ac:dyDescent="0.25">
      <c r="B227" s="64" t="s">
        <v>152</v>
      </c>
      <c r="C227" s="83"/>
      <c r="D227" s="87"/>
      <c r="F227" s="87"/>
      <c r="H227" s="87"/>
      <c r="I227" s="64"/>
    </row>
    <row r="228" spans="2:9" ht="15" customHeight="1" x14ac:dyDescent="0.25">
      <c r="B228" s="64" t="s">
        <v>155</v>
      </c>
      <c r="C228" s="83"/>
      <c r="D228" s="87"/>
      <c r="E228" s="73">
        <v>15000</v>
      </c>
      <c r="F228" s="87"/>
      <c r="G228" s="73">
        <v>15000</v>
      </c>
      <c r="H228" s="87"/>
      <c r="I228" s="64"/>
    </row>
    <row r="229" spans="2:9" ht="15" customHeight="1" x14ac:dyDescent="0.25">
      <c r="B229" s="64" t="s">
        <v>156</v>
      </c>
      <c r="C229" s="83"/>
      <c r="D229" s="87"/>
      <c r="F229" s="87"/>
      <c r="H229" s="87"/>
      <c r="I229" s="64"/>
    </row>
    <row r="230" spans="2:9" ht="15" customHeight="1" x14ac:dyDescent="0.25">
      <c r="B230" s="64" t="s">
        <v>160</v>
      </c>
      <c r="C230" s="83"/>
      <c r="D230" s="87"/>
      <c r="F230" s="87"/>
      <c r="H230" s="87"/>
      <c r="I230" s="64"/>
    </row>
    <row r="231" spans="2:9" ht="15" customHeight="1" x14ac:dyDescent="0.25">
      <c r="B231" s="64"/>
      <c r="C231" s="83"/>
      <c r="D231" s="87"/>
      <c r="F231" s="87"/>
      <c r="H231" s="87"/>
      <c r="I231" s="64"/>
    </row>
    <row r="232" spans="2:9" ht="15" customHeight="1" x14ac:dyDescent="0.25">
      <c r="B232" s="18" t="s">
        <v>84</v>
      </c>
      <c r="C232" s="83"/>
      <c r="D232" s="87"/>
      <c r="E232" s="72">
        <v>1318678.3</v>
      </c>
      <c r="F232" s="87"/>
      <c r="G232" s="72">
        <v>1318678.3</v>
      </c>
      <c r="H232" s="87"/>
      <c r="I232" s="64"/>
    </row>
    <row r="233" spans="2:9" ht="15" customHeight="1" x14ac:dyDescent="0.25">
      <c r="B233" s="64" t="s">
        <v>259</v>
      </c>
      <c r="C233" s="83"/>
      <c r="D233" s="87"/>
      <c r="E233" s="73">
        <v>275963.62</v>
      </c>
      <c r="F233" s="87"/>
      <c r="G233" s="73">
        <v>275963.62</v>
      </c>
      <c r="H233" s="87"/>
      <c r="I233" s="64"/>
    </row>
    <row r="234" spans="2:9" ht="15" customHeight="1" x14ac:dyDescent="0.25">
      <c r="B234" s="64" t="s">
        <v>260</v>
      </c>
      <c r="C234" s="87"/>
      <c r="D234" s="87"/>
      <c r="E234" s="73">
        <v>1042714.68</v>
      </c>
      <c r="F234" s="87"/>
      <c r="G234" s="73">
        <v>1042714.68</v>
      </c>
      <c r="H234" s="87"/>
      <c r="I234" s="64"/>
    </row>
    <row r="235" spans="2:9" ht="15" customHeight="1" x14ac:dyDescent="0.25">
      <c r="B235" s="2"/>
      <c r="C235" s="87"/>
      <c r="D235" s="87"/>
      <c r="E235" s="73"/>
      <c r="F235" s="87"/>
      <c r="G235" s="73"/>
      <c r="H235" s="87"/>
      <c r="I235" s="64"/>
    </row>
    <row r="236" spans="2:9" ht="15" customHeight="1" x14ac:dyDescent="0.25">
      <c r="B236" s="18" t="s">
        <v>85</v>
      </c>
      <c r="C236" s="83"/>
      <c r="D236" s="87"/>
      <c r="E236" s="72">
        <v>328400.86</v>
      </c>
      <c r="F236" s="87"/>
      <c r="G236" s="72">
        <v>328400.86</v>
      </c>
      <c r="H236" s="87"/>
      <c r="I236" s="64"/>
    </row>
    <row r="237" spans="2:9" ht="15" customHeight="1" x14ac:dyDescent="0.25">
      <c r="B237" s="12" t="s">
        <v>194</v>
      </c>
      <c r="C237" s="83"/>
      <c r="D237" s="87"/>
      <c r="E237" s="73">
        <v>177411.75</v>
      </c>
      <c r="F237" s="87"/>
      <c r="G237" s="73">
        <v>177411.75</v>
      </c>
      <c r="H237" s="87"/>
      <c r="I237" s="64"/>
    </row>
    <row r="238" spans="2:9" ht="15" customHeight="1" x14ac:dyDescent="0.25">
      <c r="B238" s="12" t="s">
        <v>195</v>
      </c>
      <c r="C238" s="83"/>
      <c r="D238" s="87"/>
      <c r="E238" s="73">
        <v>150989.10999999999</v>
      </c>
      <c r="F238" s="87"/>
      <c r="G238" s="73">
        <v>150989.10999999999</v>
      </c>
      <c r="H238" s="87"/>
      <c r="I238" s="64"/>
    </row>
    <row r="239" spans="2:9" ht="15" customHeight="1" x14ac:dyDescent="0.25">
      <c r="C239" s="87"/>
      <c r="D239" s="87"/>
      <c r="F239" s="87"/>
      <c r="H239" s="87"/>
      <c r="I239" s="64"/>
    </row>
    <row r="240" spans="2:9" ht="15" customHeight="1" x14ac:dyDescent="0.25">
      <c r="B240" s="18" t="s">
        <v>86</v>
      </c>
      <c r="C240" s="81"/>
      <c r="D240" s="87"/>
      <c r="E240" s="72">
        <v>33099.99</v>
      </c>
      <c r="F240" s="87"/>
      <c r="G240" s="72">
        <v>33099.99</v>
      </c>
      <c r="H240" s="87"/>
      <c r="I240" s="64"/>
    </row>
    <row r="241" spans="2:9" ht="15" customHeight="1" x14ac:dyDescent="0.25">
      <c r="B241" s="12" t="s">
        <v>246</v>
      </c>
      <c r="C241" s="83"/>
      <c r="D241" s="87"/>
      <c r="E241" s="73">
        <v>33099.99</v>
      </c>
      <c r="F241" s="66"/>
      <c r="G241" s="73">
        <v>33099.99</v>
      </c>
      <c r="H241" s="87"/>
      <c r="I241" s="64"/>
    </row>
    <row r="242" spans="2:9" ht="15" customHeight="1" x14ac:dyDescent="0.25">
      <c r="B242" s="12" t="s">
        <v>218</v>
      </c>
      <c r="C242" s="87"/>
      <c r="D242" s="87"/>
      <c r="F242" s="66"/>
      <c r="H242" s="87"/>
      <c r="I242" s="64"/>
    </row>
    <row r="243" spans="2:9" ht="15" customHeight="1" x14ac:dyDescent="0.25">
      <c r="C243" s="87"/>
      <c r="D243" s="87"/>
      <c r="F243" s="66"/>
      <c r="H243" s="87"/>
      <c r="I243" s="64"/>
    </row>
    <row r="244" spans="2:9" ht="15" customHeight="1" x14ac:dyDescent="0.25">
      <c r="B244" s="74" t="s">
        <v>88</v>
      </c>
      <c r="C244" s="81"/>
      <c r="D244" s="87"/>
      <c r="E244" s="72">
        <v>15070092.800000001</v>
      </c>
      <c r="F244" s="104"/>
      <c r="G244" s="72">
        <v>15070092.800000001</v>
      </c>
      <c r="H244" s="87"/>
      <c r="I244" s="64"/>
    </row>
    <row r="245" spans="2:9" ht="15" customHeight="1" x14ac:dyDescent="0.25">
      <c r="B245" s="74" t="s">
        <v>88</v>
      </c>
      <c r="C245" s="81"/>
      <c r="D245" s="87"/>
      <c r="E245" s="72">
        <v>15070092.800000001</v>
      </c>
      <c r="F245" s="104"/>
      <c r="G245" s="72">
        <v>15070092.800000001</v>
      </c>
      <c r="H245" s="87"/>
      <c r="I245" s="64"/>
    </row>
    <row r="246" spans="2:9" ht="15" customHeight="1" x14ac:dyDescent="0.25">
      <c r="B246" s="74" t="s">
        <v>89</v>
      </c>
      <c r="C246" s="81"/>
      <c r="D246" s="87"/>
      <c r="E246" s="72">
        <v>288424.15999999997</v>
      </c>
      <c r="F246" s="104"/>
      <c r="G246" s="72">
        <v>288424.15999999997</v>
      </c>
      <c r="H246" s="87"/>
      <c r="I246" s="64"/>
    </row>
    <row r="247" spans="2:9" ht="15" customHeight="1" x14ac:dyDescent="0.25">
      <c r="B247" s="64" t="s">
        <v>131</v>
      </c>
      <c r="C247" s="83"/>
      <c r="D247" s="87"/>
      <c r="E247" s="73">
        <v>101223.89</v>
      </c>
      <c r="F247" s="87"/>
      <c r="G247" s="73">
        <v>101223.89</v>
      </c>
      <c r="H247" s="87"/>
      <c r="I247" s="64"/>
    </row>
    <row r="248" spans="2:9" ht="15" customHeight="1" x14ac:dyDescent="0.25">
      <c r="B248" s="64" t="s">
        <v>109</v>
      </c>
      <c r="C248" s="83"/>
      <c r="D248" s="87"/>
      <c r="E248" s="73">
        <v>7055.4</v>
      </c>
      <c r="F248" s="87"/>
      <c r="G248" s="73">
        <v>7055.4</v>
      </c>
      <c r="H248" s="87"/>
      <c r="I248" s="64"/>
    </row>
    <row r="249" spans="2:9" ht="15" customHeight="1" x14ac:dyDescent="0.25">
      <c r="B249" s="64" t="s">
        <v>110</v>
      </c>
      <c r="C249" s="83"/>
      <c r="D249" s="87"/>
      <c r="E249" s="73">
        <v>48722.3</v>
      </c>
      <c r="F249" s="87"/>
      <c r="G249" s="73">
        <v>48722.3</v>
      </c>
      <c r="H249" s="87"/>
      <c r="I249" s="64"/>
    </row>
    <row r="250" spans="2:9" ht="15" customHeight="1" x14ac:dyDescent="0.25">
      <c r="B250" s="64" t="s">
        <v>146</v>
      </c>
      <c r="C250" s="83"/>
      <c r="D250" s="87"/>
      <c r="E250" s="73">
        <v>2955.6</v>
      </c>
      <c r="F250" s="87"/>
      <c r="G250" s="73">
        <v>2955.6</v>
      </c>
      <c r="H250" s="87"/>
      <c r="I250" s="64"/>
    </row>
    <row r="251" spans="2:9" ht="15" customHeight="1" x14ac:dyDescent="0.25">
      <c r="B251" s="64" t="s">
        <v>147</v>
      </c>
      <c r="C251" s="83"/>
      <c r="D251" s="87"/>
      <c r="E251" s="73">
        <v>10435.700000000001</v>
      </c>
      <c r="F251" s="87"/>
      <c r="G251" s="73">
        <v>10435.700000000001</v>
      </c>
      <c r="H251" s="87"/>
      <c r="I251" s="64"/>
    </row>
    <row r="252" spans="2:9" ht="15" customHeight="1" x14ac:dyDescent="0.25">
      <c r="B252" s="64" t="s">
        <v>148</v>
      </c>
      <c r="C252" s="83"/>
      <c r="D252" s="87"/>
      <c r="E252" s="73">
        <v>13415.2</v>
      </c>
      <c r="F252" s="87"/>
      <c r="G252" s="73">
        <v>13415.2</v>
      </c>
      <c r="H252" s="87"/>
      <c r="I252" s="64"/>
    </row>
    <row r="253" spans="2:9" ht="15" customHeight="1" x14ac:dyDescent="0.25">
      <c r="B253" s="64" t="s">
        <v>149</v>
      </c>
      <c r="C253" s="83"/>
      <c r="D253" s="87"/>
      <c r="E253" s="73">
        <v>6456.17</v>
      </c>
      <c r="F253" s="87"/>
      <c r="G253" s="73">
        <v>6456.17</v>
      </c>
      <c r="H253" s="87"/>
      <c r="I253" s="64"/>
    </row>
    <row r="254" spans="2:9" ht="15" customHeight="1" x14ac:dyDescent="0.25">
      <c r="B254" s="64" t="s">
        <v>150</v>
      </c>
      <c r="C254" s="83"/>
      <c r="D254" s="87"/>
      <c r="E254" s="73">
        <v>10689.6</v>
      </c>
      <c r="F254" s="87"/>
      <c r="G254" s="73">
        <v>10689.6</v>
      </c>
      <c r="H254" s="87"/>
      <c r="I254" s="64"/>
    </row>
    <row r="255" spans="2:9" ht="15" customHeight="1" x14ac:dyDescent="0.25">
      <c r="B255" s="64" t="s">
        <v>151</v>
      </c>
      <c r="C255" s="83"/>
      <c r="D255" s="87"/>
      <c r="E255" s="73">
        <v>4985.38</v>
      </c>
      <c r="F255" s="87"/>
      <c r="G255" s="73">
        <v>4985.38</v>
      </c>
      <c r="H255" s="87"/>
      <c r="I255" s="64"/>
    </row>
    <row r="256" spans="2:9" ht="15" customHeight="1" x14ac:dyDescent="0.25">
      <c r="B256" s="64" t="s">
        <v>152</v>
      </c>
      <c r="C256" s="83"/>
      <c r="D256" s="87"/>
      <c r="E256" s="73">
        <v>3315.13</v>
      </c>
      <c r="F256" s="87"/>
      <c r="G256" s="73">
        <v>3315.13</v>
      </c>
      <c r="H256" s="87"/>
      <c r="I256" s="64"/>
    </row>
    <row r="257" spans="2:9" ht="15" customHeight="1" x14ac:dyDescent="0.25">
      <c r="B257" s="64" t="s">
        <v>153</v>
      </c>
      <c r="C257" s="83"/>
      <c r="D257" s="87"/>
      <c r="E257" s="73">
        <v>2234.12</v>
      </c>
      <c r="F257" s="87"/>
      <c r="G257" s="73">
        <v>2234.12</v>
      </c>
      <c r="H257" s="87"/>
      <c r="I257" s="64"/>
    </row>
    <row r="258" spans="2:9" ht="15" customHeight="1" x14ac:dyDescent="0.25">
      <c r="B258" s="64" t="s">
        <v>154</v>
      </c>
      <c r="C258" s="83"/>
      <c r="D258" s="87"/>
      <c r="E258" s="73">
        <v>3008.08</v>
      </c>
      <c r="F258" s="87"/>
      <c r="G258" s="73">
        <v>3008.08</v>
      </c>
      <c r="H258" s="87"/>
      <c r="I258" s="64"/>
    </row>
    <row r="259" spans="2:9" ht="15" customHeight="1" x14ac:dyDescent="0.25">
      <c r="B259" s="64" t="s">
        <v>155</v>
      </c>
      <c r="C259" s="83"/>
      <c r="D259" s="87"/>
      <c r="E259" s="73">
        <v>5152.92</v>
      </c>
      <c r="F259" s="87"/>
      <c r="G259" s="73">
        <v>5152.92</v>
      </c>
      <c r="H259" s="87"/>
      <c r="I259" s="64"/>
    </row>
    <row r="260" spans="2:9" ht="15" customHeight="1" x14ac:dyDescent="0.25">
      <c r="B260" s="64" t="s">
        <v>156</v>
      </c>
      <c r="C260" s="83"/>
      <c r="D260" s="87"/>
      <c r="E260" s="73">
        <v>3834.8</v>
      </c>
      <c r="F260" s="87"/>
      <c r="G260" s="73">
        <v>3834.8</v>
      </c>
      <c r="H260" s="87"/>
      <c r="I260" s="64"/>
    </row>
    <row r="261" spans="2:9" ht="15" customHeight="1" x14ac:dyDescent="0.25">
      <c r="B261" s="64" t="s">
        <v>157</v>
      </c>
      <c r="C261" s="83"/>
      <c r="D261" s="87"/>
      <c r="E261" s="73">
        <v>5094.18</v>
      </c>
      <c r="F261" s="87"/>
      <c r="G261" s="73">
        <v>5094.18</v>
      </c>
      <c r="H261" s="87"/>
      <c r="I261" s="64"/>
    </row>
    <row r="262" spans="2:9" ht="15" customHeight="1" x14ac:dyDescent="0.25">
      <c r="B262" s="64" t="s">
        <v>196</v>
      </c>
      <c r="C262" s="83"/>
      <c r="D262" s="87"/>
      <c r="E262" s="73">
        <v>4487.5200000000004</v>
      </c>
      <c r="F262" s="87"/>
      <c r="G262" s="73">
        <v>4487.5200000000004</v>
      </c>
      <c r="H262" s="87"/>
      <c r="I262" s="64"/>
    </row>
    <row r="263" spans="2:9" ht="15" customHeight="1" x14ac:dyDescent="0.25">
      <c r="B263" s="64" t="s">
        <v>188</v>
      </c>
      <c r="C263" s="83"/>
      <c r="D263" s="87"/>
      <c r="E263" s="73">
        <v>1314.39</v>
      </c>
      <c r="F263" s="87"/>
      <c r="G263" s="73">
        <v>1314.39</v>
      </c>
      <c r="H263" s="87"/>
      <c r="I263" s="64"/>
    </row>
    <row r="264" spans="2:9" ht="15" customHeight="1" x14ac:dyDescent="0.25">
      <c r="B264" s="64" t="s">
        <v>160</v>
      </c>
      <c r="C264" s="83"/>
      <c r="D264" s="87"/>
      <c r="E264" s="73">
        <v>2160.12</v>
      </c>
      <c r="F264" s="87"/>
      <c r="G264" s="73">
        <v>2160.12</v>
      </c>
      <c r="H264" s="87"/>
      <c r="I264" s="64"/>
    </row>
    <row r="265" spans="2:9" ht="15" customHeight="1" x14ac:dyDescent="0.25">
      <c r="B265" s="64" t="s">
        <v>161</v>
      </c>
      <c r="C265" s="83"/>
      <c r="D265" s="87"/>
      <c r="E265" s="73">
        <v>6840.7</v>
      </c>
      <c r="F265" s="87"/>
      <c r="G265" s="73">
        <v>6840.7</v>
      </c>
      <c r="H265" s="87"/>
      <c r="I265" s="64"/>
    </row>
    <row r="266" spans="2:9" ht="15" customHeight="1" x14ac:dyDescent="0.25">
      <c r="B266" s="64" t="s">
        <v>189</v>
      </c>
      <c r="C266" s="83"/>
      <c r="D266" s="87"/>
      <c r="E266" s="73">
        <v>953.6</v>
      </c>
      <c r="F266" s="87"/>
      <c r="G266" s="73">
        <v>953.6</v>
      </c>
      <c r="H266" s="87"/>
      <c r="I266" s="64"/>
    </row>
    <row r="267" spans="2:9" ht="15" customHeight="1" x14ac:dyDescent="0.25">
      <c r="B267" s="64" t="s">
        <v>164</v>
      </c>
      <c r="C267" s="83"/>
      <c r="D267" s="87"/>
      <c r="E267" s="73">
        <v>641.4</v>
      </c>
      <c r="F267" s="87"/>
      <c r="G267" s="73">
        <v>641.4</v>
      </c>
      <c r="H267" s="87"/>
      <c r="I267" s="64"/>
    </row>
    <row r="268" spans="2:9" ht="15" customHeight="1" x14ac:dyDescent="0.25">
      <c r="B268" s="64" t="s">
        <v>168</v>
      </c>
      <c r="C268" s="83"/>
      <c r="D268" s="87"/>
      <c r="E268" s="73">
        <v>3732.51</v>
      </c>
      <c r="F268" s="87"/>
      <c r="G268" s="73">
        <v>3732.51</v>
      </c>
      <c r="H268" s="87"/>
      <c r="I268" s="64"/>
    </row>
    <row r="269" spans="2:9" ht="15" customHeight="1" x14ac:dyDescent="0.25">
      <c r="B269" s="64" t="s">
        <v>167</v>
      </c>
      <c r="C269" s="83"/>
      <c r="D269" s="87"/>
      <c r="E269" s="73">
        <v>1200</v>
      </c>
      <c r="F269" s="87"/>
      <c r="G269" s="73">
        <v>1200</v>
      </c>
      <c r="H269" s="87"/>
      <c r="I269" s="64"/>
    </row>
    <row r="270" spans="2:9" ht="15" customHeight="1" x14ac:dyDescent="0.25">
      <c r="B270" s="64" t="s">
        <v>171</v>
      </c>
      <c r="C270" s="83"/>
      <c r="D270" s="87"/>
      <c r="E270" s="73">
        <v>4484.79</v>
      </c>
      <c r="F270" s="87"/>
      <c r="G270" s="73">
        <v>4484.79</v>
      </c>
      <c r="H270" s="87"/>
      <c r="I270" s="64"/>
    </row>
    <row r="271" spans="2:9" ht="15" customHeight="1" x14ac:dyDescent="0.25">
      <c r="B271" s="64" t="s">
        <v>172</v>
      </c>
      <c r="C271" s="83"/>
      <c r="D271" s="87"/>
      <c r="E271" s="73">
        <v>10811.75</v>
      </c>
      <c r="F271" s="87"/>
      <c r="G271" s="73">
        <v>10811.75</v>
      </c>
      <c r="H271" s="87"/>
      <c r="I271" s="64"/>
    </row>
    <row r="272" spans="2:9" ht="15" customHeight="1" x14ac:dyDescent="0.25">
      <c r="B272" s="64" t="s">
        <v>174</v>
      </c>
      <c r="C272" s="83"/>
      <c r="D272" s="87"/>
      <c r="E272" s="73">
        <v>8083.64</v>
      </c>
      <c r="F272" s="87"/>
      <c r="G272" s="73">
        <v>8083.64</v>
      </c>
      <c r="H272" s="87"/>
      <c r="I272" s="64"/>
    </row>
    <row r="273" spans="2:9" ht="15" customHeight="1" x14ac:dyDescent="0.25">
      <c r="B273" s="64" t="s">
        <v>182</v>
      </c>
      <c r="C273" s="83"/>
      <c r="D273" s="87"/>
      <c r="E273" s="73">
        <v>2338.6</v>
      </c>
      <c r="F273" s="87"/>
      <c r="G273" s="73">
        <v>2338.6</v>
      </c>
      <c r="H273" s="87"/>
      <c r="I273" s="64"/>
    </row>
    <row r="274" spans="2:9" ht="15" customHeight="1" x14ac:dyDescent="0.25">
      <c r="B274" s="64" t="s">
        <v>184</v>
      </c>
      <c r="C274" s="83"/>
      <c r="D274" s="87"/>
      <c r="E274" s="73">
        <v>445.64</v>
      </c>
      <c r="F274" s="87"/>
      <c r="G274" s="73">
        <v>445.64</v>
      </c>
      <c r="H274" s="87"/>
      <c r="I274" s="64"/>
    </row>
    <row r="275" spans="2:9" ht="15" customHeight="1" x14ac:dyDescent="0.25">
      <c r="B275" s="64" t="s">
        <v>227</v>
      </c>
      <c r="C275" s="83"/>
      <c r="D275" s="87"/>
      <c r="E275" s="73">
        <v>2551.1999999999998</v>
      </c>
      <c r="F275" s="87"/>
      <c r="G275" s="73">
        <v>2551.1999999999998</v>
      </c>
      <c r="H275" s="87"/>
      <c r="I275" s="64"/>
    </row>
    <row r="276" spans="2:9" ht="15" customHeight="1" x14ac:dyDescent="0.25">
      <c r="B276" s="64" t="s">
        <v>177</v>
      </c>
      <c r="C276" s="83"/>
      <c r="D276" s="87"/>
      <c r="E276" s="73">
        <v>9799.83</v>
      </c>
      <c r="F276" s="87"/>
      <c r="G276" s="73">
        <v>9799.83</v>
      </c>
      <c r="H276" s="87"/>
      <c r="I276" s="64"/>
    </row>
    <row r="277" spans="2:9" ht="15" customHeight="1" x14ac:dyDescent="0.25">
      <c r="B277" s="64"/>
      <c r="C277" s="87"/>
      <c r="D277" s="87"/>
      <c r="F277" s="87"/>
      <c r="H277" s="87"/>
      <c r="I277" s="64"/>
    </row>
    <row r="278" spans="2:9" ht="15" customHeight="1" x14ac:dyDescent="0.25">
      <c r="B278" s="74" t="s">
        <v>90</v>
      </c>
      <c r="C278" s="81"/>
      <c r="D278" s="87"/>
      <c r="E278" s="72">
        <v>158127.47</v>
      </c>
      <c r="F278" s="87"/>
      <c r="G278" s="72">
        <v>158127.47</v>
      </c>
      <c r="H278" s="87"/>
      <c r="I278" s="64"/>
    </row>
    <row r="279" spans="2:9" ht="15" customHeight="1" x14ac:dyDescent="0.25">
      <c r="B279" s="64" t="s">
        <v>131</v>
      </c>
      <c r="C279" s="83"/>
      <c r="D279" s="87"/>
      <c r="E279" s="73">
        <v>144126.79</v>
      </c>
      <c r="F279" s="87"/>
      <c r="G279" s="73">
        <v>144126.79</v>
      </c>
      <c r="H279" s="87"/>
      <c r="I279" s="64"/>
    </row>
    <row r="280" spans="2:9" ht="15" customHeight="1" x14ac:dyDescent="0.25">
      <c r="B280" s="64" t="s">
        <v>110</v>
      </c>
      <c r="C280" s="83"/>
      <c r="D280" s="87"/>
      <c r="E280" s="73">
        <v>14000.68</v>
      </c>
      <c r="F280" s="87"/>
      <c r="G280" s="73">
        <v>14000.68</v>
      </c>
      <c r="H280" s="87"/>
      <c r="I280" s="64"/>
    </row>
    <row r="281" spans="2:9" ht="15" customHeight="1" x14ac:dyDescent="0.25">
      <c r="B281" s="64"/>
      <c r="C281" s="83"/>
      <c r="D281" s="87"/>
      <c r="F281" s="87"/>
      <c r="H281" s="87"/>
      <c r="I281" s="64"/>
    </row>
    <row r="282" spans="2:9" ht="15" customHeight="1" x14ac:dyDescent="0.25">
      <c r="B282" s="64" t="s">
        <v>91</v>
      </c>
      <c r="C282" s="83"/>
      <c r="D282" s="87"/>
      <c r="E282" s="72">
        <v>2054855.73</v>
      </c>
      <c r="F282" s="87"/>
      <c r="G282" s="72">
        <v>2054855.73</v>
      </c>
      <c r="H282" s="87"/>
      <c r="I282" s="64"/>
    </row>
    <row r="283" spans="2:9" ht="15" customHeight="1" x14ac:dyDescent="0.25">
      <c r="B283" s="64" t="s">
        <v>131</v>
      </c>
      <c r="C283" s="83"/>
      <c r="D283" s="87"/>
      <c r="E283" s="73">
        <v>585070.41</v>
      </c>
      <c r="F283" s="87"/>
      <c r="G283" s="73">
        <v>585070.41</v>
      </c>
      <c r="H283" s="87"/>
      <c r="I283" s="64"/>
    </row>
    <row r="284" spans="2:9" ht="15" customHeight="1" x14ac:dyDescent="0.25">
      <c r="B284" s="64" t="s">
        <v>109</v>
      </c>
      <c r="C284" s="83"/>
      <c r="D284" s="87"/>
      <c r="E284" s="73">
        <v>179458.91</v>
      </c>
      <c r="F284" s="87"/>
      <c r="G284" s="73">
        <v>179458.91</v>
      </c>
      <c r="H284" s="87"/>
      <c r="I284" s="64"/>
    </row>
    <row r="285" spans="2:9" ht="15" customHeight="1" x14ac:dyDescent="0.25">
      <c r="B285" s="64" t="s">
        <v>110</v>
      </c>
      <c r="C285" s="83"/>
      <c r="D285" s="87"/>
      <c r="E285" s="73">
        <v>133362.19</v>
      </c>
      <c r="F285" s="87"/>
      <c r="G285" s="73">
        <v>133362.19</v>
      </c>
      <c r="H285" s="87"/>
      <c r="I285" s="64"/>
    </row>
    <row r="286" spans="2:9" ht="15" customHeight="1" x14ac:dyDescent="0.25">
      <c r="B286" s="64" t="s">
        <v>146</v>
      </c>
      <c r="C286" s="83"/>
      <c r="D286" s="87"/>
      <c r="E286" s="73">
        <v>104666.82</v>
      </c>
      <c r="F286" s="87"/>
      <c r="G286" s="73">
        <v>104666.82</v>
      </c>
      <c r="H286" s="87"/>
      <c r="I286" s="64"/>
    </row>
    <row r="287" spans="2:9" ht="15" customHeight="1" x14ac:dyDescent="0.25">
      <c r="B287" s="64" t="s">
        <v>147</v>
      </c>
      <c r="C287" s="83"/>
      <c r="D287" s="87"/>
      <c r="E287" s="73">
        <v>42985.19</v>
      </c>
      <c r="F287" s="87"/>
      <c r="G287" s="73">
        <v>42985.19</v>
      </c>
      <c r="H287" s="87"/>
      <c r="I287" s="64"/>
    </row>
    <row r="288" spans="2:9" ht="15" customHeight="1" x14ac:dyDescent="0.25">
      <c r="B288" s="64" t="s">
        <v>148</v>
      </c>
      <c r="C288" s="83"/>
      <c r="D288" s="87"/>
      <c r="E288" s="73">
        <v>80536.34</v>
      </c>
      <c r="F288" s="87"/>
      <c r="G288" s="73">
        <v>80536.34</v>
      </c>
      <c r="H288" s="87"/>
      <c r="I288" s="64"/>
    </row>
    <row r="289" spans="2:9" ht="15" customHeight="1" x14ac:dyDescent="0.25">
      <c r="B289" s="64" t="s">
        <v>149</v>
      </c>
      <c r="C289" s="83"/>
      <c r="D289" s="87"/>
      <c r="E289" s="73">
        <v>61034.879999999997</v>
      </c>
      <c r="F289" s="87"/>
      <c r="G289" s="73">
        <v>61034.879999999997</v>
      </c>
      <c r="H289" s="87"/>
      <c r="I289" s="64"/>
    </row>
    <row r="290" spans="2:9" ht="15" customHeight="1" x14ac:dyDescent="0.25">
      <c r="B290" s="64" t="s">
        <v>150</v>
      </c>
      <c r="C290" s="83"/>
      <c r="D290" s="87"/>
      <c r="E290" s="73">
        <v>37687.32</v>
      </c>
      <c r="F290" s="87"/>
      <c r="G290" s="73">
        <v>37687.32</v>
      </c>
      <c r="H290" s="87"/>
      <c r="I290" s="64"/>
    </row>
    <row r="291" spans="2:9" ht="15" customHeight="1" x14ac:dyDescent="0.25">
      <c r="B291" s="64" t="s">
        <v>151</v>
      </c>
      <c r="C291" s="83"/>
      <c r="D291" s="87"/>
      <c r="E291" s="73">
        <v>17882.71</v>
      </c>
      <c r="F291" s="87"/>
      <c r="G291" s="73">
        <v>17882.71</v>
      </c>
      <c r="H291" s="87"/>
      <c r="I291" s="64"/>
    </row>
    <row r="292" spans="2:9" ht="15" customHeight="1" x14ac:dyDescent="0.25">
      <c r="B292" s="64" t="s">
        <v>152</v>
      </c>
      <c r="C292" s="83"/>
      <c r="D292" s="87"/>
      <c r="E292" s="73">
        <v>13406.69</v>
      </c>
      <c r="F292" s="87"/>
      <c r="G292" s="73">
        <v>13406.69</v>
      </c>
      <c r="H292" s="87"/>
      <c r="I292" s="64"/>
    </row>
    <row r="293" spans="2:9" ht="15" customHeight="1" x14ac:dyDescent="0.25">
      <c r="B293" s="64" t="s">
        <v>153</v>
      </c>
      <c r="C293" s="83"/>
      <c r="D293" s="87"/>
      <c r="E293" s="73">
        <v>2140.4299999999998</v>
      </c>
      <c r="F293" s="87"/>
      <c r="G293" s="73">
        <v>2140.4299999999998</v>
      </c>
      <c r="H293" s="87"/>
      <c r="I293" s="64"/>
    </row>
    <row r="294" spans="2:9" ht="15" customHeight="1" x14ac:dyDescent="0.25">
      <c r="B294" s="64" t="s">
        <v>154</v>
      </c>
      <c r="C294" s="83"/>
      <c r="D294" s="87"/>
      <c r="E294" s="73">
        <v>60540.04</v>
      </c>
      <c r="F294" s="87"/>
      <c r="G294" s="73">
        <v>60540.04</v>
      </c>
      <c r="H294" s="87"/>
      <c r="I294" s="64"/>
    </row>
    <row r="295" spans="2:9" ht="15" customHeight="1" x14ac:dyDescent="0.25">
      <c r="B295" s="64" t="s">
        <v>155</v>
      </c>
      <c r="C295" s="83"/>
      <c r="D295" s="87"/>
      <c r="E295" s="73">
        <v>154881.13</v>
      </c>
      <c r="F295" s="87"/>
      <c r="G295" s="73">
        <v>154881.13</v>
      </c>
      <c r="H295" s="87"/>
      <c r="I295" s="64"/>
    </row>
    <row r="296" spans="2:9" ht="15" customHeight="1" x14ac:dyDescent="0.25">
      <c r="B296" s="64" t="s">
        <v>156</v>
      </c>
      <c r="C296" s="83"/>
      <c r="D296" s="87"/>
      <c r="E296" s="73">
        <v>131572.15</v>
      </c>
      <c r="F296" s="87"/>
      <c r="G296" s="73">
        <v>131572.15</v>
      </c>
      <c r="H296" s="87"/>
      <c r="I296" s="64"/>
    </row>
    <row r="297" spans="2:9" ht="15" customHeight="1" x14ac:dyDescent="0.25">
      <c r="B297" s="64" t="s">
        <v>157</v>
      </c>
      <c r="C297" s="83"/>
      <c r="D297" s="87"/>
      <c r="E297" s="73">
        <v>26242.44</v>
      </c>
      <c r="F297" s="87"/>
      <c r="G297" s="73">
        <v>26242.44</v>
      </c>
      <c r="H297" s="87"/>
      <c r="I297" s="64"/>
    </row>
    <row r="298" spans="2:9" ht="15" customHeight="1" x14ac:dyDescent="0.25">
      <c r="B298" s="64" t="s">
        <v>196</v>
      </c>
      <c r="C298" s="83"/>
      <c r="D298" s="87"/>
      <c r="E298" s="73">
        <v>8460.84</v>
      </c>
      <c r="F298" s="87"/>
      <c r="G298" s="73">
        <v>8460.84</v>
      </c>
      <c r="H298" s="87"/>
      <c r="I298" s="64"/>
    </row>
    <row r="299" spans="2:9" ht="15" customHeight="1" x14ac:dyDescent="0.25">
      <c r="B299" s="64" t="s">
        <v>188</v>
      </c>
      <c r="C299" s="83"/>
      <c r="D299" s="87"/>
      <c r="E299" s="73">
        <v>76894.600000000006</v>
      </c>
      <c r="F299" s="87"/>
      <c r="G299" s="73">
        <v>76894.600000000006</v>
      </c>
      <c r="H299" s="87"/>
      <c r="I299" s="64"/>
    </row>
    <row r="300" spans="2:9" ht="15" customHeight="1" x14ac:dyDescent="0.25">
      <c r="B300" s="64" t="s">
        <v>160</v>
      </c>
      <c r="C300" s="83"/>
      <c r="D300" s="87"/>
      <c r="E300" s="73">
        <v>5749.38</v>
      </c>
      <c r="F300" s="87"/>
      <c r="G300" s="73">
        <v>5749.38</v>
      </c>
      <c r="H300" s="87"/>
      <c r="I300" s="64"/>
    </row>
    <row r="301" spans="2:9" ht="15" customHeight="1" x14ac:dyDescent="0.25">
      <c r="B301" s="64" t="s">
        <v>261</v>
      </c>
      <c r="C301" s="83"/>
      <c r="D301" s="87"/>
      <c r="E301" s="73">
        <v>13856.25</v>
      </c>
      <c r="F301" s="87"/>
      <c r="G301" s="73">
        <v>13856.25</v>
      </c>
      <c r="H301" s="87"/>
      <c r="I301" s="64"/>
    </row>
    <row r="302" spans="2:9" ht="15" customHeight="1" x14ac:dyDescent="0.25">
      <c r="B302" s="64" t="s">
        <v>161</v>
      </c>
      <c r="C302" s="83"/>
      <c r="D302" s="87"/>
      <c r="E302" s="73">
        <v>37093.040000000001</v>
      </c>
      <c r="F302" s="87"/>
      <c r="G302" s="73">
        <v>37093.040000000001</v>
      </c>
      <c r="H302" s="87"/>
      <c r="I302" s="64"/>
    </row>
    <row r="303" spans="2:9" ht="15" customHeight="1" x14ac:dyDescent="0.25">
      <c r="B303" s="64" t="s">
        <v>189</v>
      </c>
      <c r="C303" s="83"/>
      <c r="D303" s="87"/>
      <c r="E303" s="73">
        <v>1513.79</v>
      </c>
      <c r="F303" s="87"/>
      <c r="G303" s="73">
        <v>1513.79</v>
      </c>
      <c r="H303" s="87"/>
      <c r="I303" s="64"/>
    </row>
    <row r="304" spans="2:9" ht="15" customHeight="1" x14ac:dyDescent="0.25">
      <c r="B304" s="64" t="s">
        <v>168</v>
      </c>
      <c r="C304" s="83"/>
      <c r="D304" s="87"/>
      <c r="E304" s="73">
        <v>49819.49</v>
      </c>
      <c r="F304" s="87"/>
      <c r="G304" s="73">
        <v>49819.49</v>
      </c>
      <c r="H304" s="87"/>
      <c r="I304" s="64"/>
    </row>
    <row r="305" spans="2:12" ht="15" customHeight="1" x14ac:dyDescent="0.25">
      <c r="B305" s="64" t="s">
        <v>167</v>
      </c>
      <c r="C305" s="83"/>
      <c r="D305" s="87"/>
      <c r="E305" s="73">
        <v>1494.96</v>
      </c>
      <c r="F305" s="87"/>
      <c r="G305" s="73">
        <v>1494.96</v>
      </c>
      <c r="H305" s="87"/>
      <c r="I305" s="64"/>
    </row>
    <row r="306" spans="2:12" ht="15" customHeight="1" x14ac:dyDescent="0.25">
      <c r="B306" s="64" t="s">
        <v>171</v>
      </c>
      <c r="C306" s="83"/>
      <c r="D306" s="87"/>
      <c r="E306" s="73">
        <v>18255.330000000002</v>
      </c>
      <c r="F306" s="87"/>
      <c r="G306" s="73">
        <v>18255.330000000002</v>
      </c>
      <c r="H306" s="87"/>
      <c r="I306" s="64"/>
    </row>
    <row r="307" spans="2:12" ht="15" customHeight="1" x14ac:dyDescent="0.25">
      <c r="B307" s="64" t="s">
        <v>172</v>
      </c>
      <c r="C307" s="83"/>
      <c r="D307" s="87"/>
      <c r="E307" s="73">
        <v>128294.24</v>
      </c>
      <c r="F307" s="87"/>
      <c r="G307" s="73">
        <v>128294.24</v>
      </c>
      <c r="H307" s="87"/>
      <c r="I307" s="64"/>
    </row>
    <row r="308" spans="2:12" ht="15" customHeight="1" x14ac:dyDescent="0.25">
      <c r="B308" s="64" t="s">
        <v>174</v>
      </c>
      <c r="C308" s="83"/>
      <c r="D308" s="87"/>
      <c r="E308" s="73">
        <v>9836.0300000000007</v>
      </c>
      <c r="F308" s="87"/>
      <c r="G308" s="73">
        <v>9836.0300000000007</v>
      </c>
      <c r="H308" s="87"/>
      <c r="I308" s="64"/>
    </row>
    <row r="309" spans="2:12" ht="15" customHeight="1" x14ac:dyDescent="0.25">
      <c r="B309" s="64" t="s">
        <v>173</v>
      </c>
      <c r="C309" s="83"/>
      <c r="D309" s="87"/>
      <c r="E309" s="73">
        <v>9841.3700000000008</v>
      </c>
      <c r="F309" s="87"/>
      <c r="G309" s="73">
        <v>9841.3700000000008</v>
      </c>
      <c r="H309" s="87"/>
      <c r="I309" s="64"/>
    </row>
    <row r="310" spans="2:12" ht="15" customHeight="1" x14ac:dyDescent="0.25">
      <c r="B310" s="64" t="s">
        <v>197</v>
      </c>
      <c r="C310" s="83"/>
      <c r="D310" s="87"/>
      <c r="E310" s="73">
        <v>5435.28</v>
      </c>
      <c r="F310" s="87"/>
      <c r="G310" s="73">
        <v>5435.28</v>
      </c>
      <c r="H310" s="87"/>
      <c r="I310" s="64"/>
    </row>
    <row r="311" spans="2:12" ht="15" customHeight="1" x14ac:dyDescent="0.25">
      <c r="B311" s="64" t="s">
        <v>182</v>
      </c>
      <c r="C311" s="83"/>
      <c r="D311" s="87"/>
      <c r="E311" s="73">
        <v>12328.99</v>
      </c>
      <c r="F311" s="87"/>
      <c r="G311" s="73">
        <v>12328.99</v>
      </c>
      <c r="H311" s="87"/>
      <c r="I311" s="64"/>
    </row>
    <row r="312" spans="2:12" ht="15" customHeight="1" x14ac:dyDescent="0.25">
      <c r="B312" s="64" t="s">
        <v>198</v>
      </c>
      <c r="C312" s="83"/>
      <c r="D312" s="87"/>
      <c r="E312" s="73">
        <v>4064.82</v>
      </c>
      <c r="F312" s="87"/>
      <c r="G312" s="73">
        <v>4064.82</v>
      </c>
      <c r="H312" s="87"/>
      <c r="I312" s="64"/>
    </row>
    <row r="313" spans="2:12" ht="15" customHeight="1" x14ac:dyDescent="0.25">
      <c r="B313" s="64" t="s">
        <v>227</v>
      </c>
      <c r="C313" s="83"/>
      <c r="D313" s="87"/>
      <c r="E313" s="73">
        <v>3564</v>
      </c>
      <c r="F313" s="87"/>
      <c r="G313" s="73">
        <v>3564</v>
      </c>
      <c r="H313" s="87"/>
      <c r="I313" s="64"/>
    </row>
    <row r="314" spans="2:12" ht="15" customHeight="1" x14ac:dyDescent="0.25">
      <c r="B314" s="64" t="s">
        <v>177</v>
      </c>
      <c r="C314" s="83"/>
      <c r="D314" s="87"/>
      <c r="E314" s="73">
        <v>36885.67</v>
      </c>
      <c r="F314" s="87"/>
      <c r="G314" s="73">
        <v>36885.67</v>
      </c>
      <c r="H314" s="87"/>
      <c r="I314" s="64"/>
    </row>
    <row r="315" spans="2:12" ht="15" customHeight="1" x14ac:dyDescent="0.25">
      <c r="B315" s="64"/>
      <c r="C315" s="83"/>
      <c r="D315" s="87"/>
      <c r="F315" s="87"/>
      <c r="H315" s="87"/>
      <c r="I315" s="64"/>
    </row>
    <row r="316" spans="2:12" ht="15" customHeight="1" x14ac:dyDescent="0.25">
      <c r="B316" s="74" t="s">
        <v>92</v>
      </c>
      <c r="C316" s="81"/>
      <c r="D316" s="87"/>
      <c r="E316" s="72">
        <v>5882213.6600000001</v>
      </c>
      <c r="F316" s="104"/>
      <c r="G316" s="72">
        <v>5882213.6600000001</v>
      </c>
      <c r="H316" s="87"/>
      <c r="I316" s="64"/>
    </row>
    <row r="317" spans="2:12" ht="15" customHeight="1" x14ac:dyDescent="0.25">
      <c r="B317" s="64" t="s">
        <v>199</v>
      </c>
      <c r="C317" s="83"/>
      <c r="D317" s="87"/>
      <c r="E317" s="73">
        <v>145279.73000000001</v>
      </c>
      <c r="F317" s="87"/>
      <c r="G317" s="73">
        <v>145279.73000000001</v>
      </c>
      <c r="H317" s="87"/>
      <c r="I317" s="64"/>
    </row>
    <row r="318" spans="2:12" ht="15" customHeight="1" x14ac:dyDescent="0.25">
      <c r="B318" s="64" t="s">
        <v>200</v>
      </c>
      <c r="C318" s="83"/>
      <c r="D318" s="87"/>
      <c r="E318" s="73">
        <v>147722.69</v>
      </c>
      <c r="F318" s="87"/>
      <c r="G318" s="73">
        <v>147722.69</v>
      </c>
      <c r="H318" s="87"/>
      <c r="I318" s="64"/>
    </row>
    <row r="319" spans="2:12" ht="15" customHeight="1" x14ac:dyDescent="0.25">
      <c r="B319" s="64" t="s">
        <v>244</v>
      </c>
      <c r="C319" s="83"/>
      <c r="D319" s="87"/>
      <c r="E319" s="73">
        <v>909747.6</v>
      </c>
      <c r="F319" s="87"/>
      <c r="G319" s="73">
        <v>909747.6</v>
      </c>
      <c r="H319" s="87"/>
      <c r="I319" s="64"/>
    </row>
    <row r="320" spans="2:12" ht="15" customHeight="1" x14ac:dyDescent="0.25">
      <c r="B320" s="64" t="s">
        <v>201</v>
      </c>
      <c r="C320" s="83"/>
      <c r="D320" s="87"/>
      <c r="E320" s="73">
        <v>162955</v>
      </c>
      <c r="F320" s="87"/>
      <c r="G320" s="73">
        <v>162955</v>
      </c>
      <c r="H320" s="87"/>
      <c r="I320" s="128"/>
      <c r="J320" s="128"/>
      <c r="K320" s="129"/>
      <c r="L320" s="129"/>
    </row>
    <row r="321" spans="2:8" ht="15" customHeight="1" x14ac:dyDescent="0.25">
      <c r="B321" s="64" t="s">
        <v>202</v>
      </c>
      <c r="C321" s="83"/>
      <c r="D321" s="87"/>
      <c r="E321" s="73">
        <v>1626118.92</v>
      </c>
      <c r="F321" s="87"/>
      <c r="G321" s="73">
        <v>1626118.92</v>
      </c>
      <c r="H321" s="87"/>
    </row>
    <row r="322" spans="2:8" ht="15" customHeight="1" x14ac:dyDescent="0.25">
      <c r="B322" s="64" t="s">
        <v>203</v>
      </c>
      <c r="C322" s="83"/>
      <c r="D322" s="87"/>
      <c r="E322" s="73">
        <v>707581.43999999994</v>
      </c>
      <c r="F322" s="87"/>
      <c r="G322" s="73">
        <v>707581.43999999994</v>
      </c>
      <c r="H322" s="87"/>
    </row>
    <row r="323" spans="2:8" ht="15" customHeight="1" x14ac:dyDescent="0.25">
      <c r="B323" s="64" t="s">
        <v>204</v>
      </c>
      <c r="C323" s="83"/>
      <c r="D323" s="87"/>
      <c r="E323" s="73">
        <v>2182808.2799999998</v>
      </c>
      <c r="F323" s="87"/>
      <c r="G323" s="73">
        <v>2182808.2799999998</v>
      </c>
      <c r="H323" s="87"/>
    </row>
    <row r="324" spans="2:8" ht="15" customHeight="1" x14ac:dyDescent="0.25">
      <c r="B324" s="64"/>
      <c r="C324" s="83"/>
      <c r="D324" s="87"/>
      <c r="F324" s="87"/>
      <c r="H324" s="87"/>
    </row>
    <row r="325" spans="2:8" ht="15" customHeight="1" x14ac:dyDescent="0.25">
      <c r="B325" s="74" t="s">
        <v>93</v>
      </c>
      <c r="C325" s="83"/>
      <c r="D325" s="87"/>
      <c r="E325" s="72">
        <v>6595208.2699999996</v>
      </c>
      <c r="F325" s="87"/>
      <c r="G325" s="72">
        <v>6595208.2699999996</v>
      </c>
      <c r="H325" s="87"/>
    </row>
    <row r="326" spans="2:8" ht="15" customHeight="1" x14ac:dyDescent="0.25">
      <c r="B326" s="64" t="s">
        <v>247</v>
      </c>
      <c r="C326" s="83"/>
      <c r="D326" s="87"/>
      <c r="E326" s="73">
        <v>1849604.63</v>
      </c>
      <c r="F326" s="87"/>
      <c r="G326" s="73">
        <v>1849604.63</v>
      </c>
      <c r="H326" s="87"/>
    </row>
    <row r="327" spans="2:8" ht="15" customHeight="1" x14ac:dyDescent="0.25">
      <c r="B327" s="64" t="s">
        <v>205</v>
      </c>
      <c r="C327" s="83"/>
      <c r="D327" s="87"/>
      <c r="E327" s="73">
        <v>59132.24</v>
      </c>
      <c r="F327" s="87"/>
      <c r="G327" s="73">
        <v>59132.24</v>
      </c>
      <c r="H327" s="87"/>
    </row>
    <row r="328" spans="2:8" ht="15" customHeight="1" x14ac:dyDescent="0.25">
      <c r="B328" s="64" t="s">
        <v>206</v>
      </c>
      <c r="C328" s="83"/>
      <c r="D328" s="87"/>
      <c r="E328" s="73">
        <v>325301.25</v>
      </c>
      <c r="F328" s="87"/>
      <c r="G328" s="73">
        <v>325301.25</v>
      </c>
      <c r="H328" s="87"/>
    </row>
    <row r="329" spans="2:8" ht="15" customHeight="1" x14ac:dyDescent="0.25">
      <c r="B329" s="64" t="s">
        <v>207</v>
      </c>
      <c r="C329" s="83"/>
      <c r="D329" s="87"/>
      <c r="E329" s="73">
        <v>1781338.88</v>
      </c>
      <c r="F329" s="87"/>
      <c r="G329" s="73">
        <v>1781338.88</v>
      </c>
      <c r="H329" s="87"/>
    </row>
    <row r="330" spans="2:8" ht="15" customHeight="1" x14ac:dyDescent="0.25">
      <c r="B330" s="64" t="s">
        <v>208</v>
      </c>
      <c r="C330" s="83"/>
      <c r="D330" s="87"/>
      <c r="E330" s="73">
        <v>1371819.7</v>
      </c>
      <c r="F330" s="87"/>
      <c r="G330" s="73">
        <v>1371819.7</v>
      </c>
      <c r="H330" s="87"/>
    </row>
    <row r="331" spans="2:8" ht="15" customHeight="1" x14ac:dyDescent="0.25">
      <c r="B331" s="64" t="s">
        <v>209</v>
      </c>
      <c r="C331" s="83"/>
      <c r="D331" s="87"/>
      <c r="E331" s="73">
        <v>127511.1</v>
      </c>
      <c r="F331" s="87"/>
      <c r="G331" s="73">
        <v>127511.1</v>
      </c>
      <c r="H331" s="87"/>
    </row>
    <row r="332" spans="2:8" ht="15" customHeight="1" x14ac:dyDescent="0.25">
      <c r="B332" s="64" t="s">
        <v>210</v>
      </c>
      <c r="C332" s="83"/>
      <c r="D332" s="87"/>
      <c r="E332" s="73">
        <v>79778.11</v>
      </c>
      <c r="F332" s="87"/>
      <c r="G332" s="73">
        <v>79778.11</v>
      </c>
      <c r="H332" s="87"/>
    </row>
    <row r="333" spans="2:8" ht="15" customHeight="1" x14ac:dyDescent="0.25">
      <c r="B333" s="64" t="s">
        <v>211</v>
      </c>
      <c r="C333" s="83"/>
      <c r="D333" s="87"/>
      <c r="E333" s="73">
        <v>1000722.36</v>
      </c>
      <c r="F333" s="87"/>
      <c r="G333" s="73">
        <v>1000722.36</v>
      </c>
      <c r="H333" s="87"/>
    </row>
    <row r="334" spans="2:8" ht="15" customHeight="1" x14ac:dyDescent="0.25">
      <c r="B334" s="64"/>
      <c r="C334" s="83"/>
      <c r="D334" s="87"/>
      <c r="F334" s="87"/>
      <c r="H334" s="87"/>
    </row>
    <row r="335" spans="2:8" ht="15" customHeight="1" x14ac:dyDescent="0.25">
      <c r="B335" s="74" t="s">
        <v>245</v>
      </c>
      <c r="C335" s="83"/>
      <c r="D335" s="87"/>
      <c r="E335" s="72">
        <v>91263.51</v>
      </c>
      <c r="F335" s="87"/>
      <c r="G335" s="72">
        <v>91263.51</v>
      </c>
      <c r="H335" s="87"/>
    </row>
    <row r="336" spans="2:8" ht="15" customHeight="1" x14ac:dyDescent="0.25">
      <c r="B336" s="64" t="s">
        <v>248</v>
      </c>
      <c r="C336" s="83"/>
      <c r="D336" s="87"/>
      <c r="E336" s="73">
        <v>91263.51</v>
      </c>
      <c r="F336" s="87"/>
      <c r="G336" s="73">
        <v>91263.51</v>
      </c>
      <c r="H336" s="87"/>
    </row>
    <row r="337" spans="2:8" ht="15" customHeight="1" thickBot="1" x14ac:dyDescent="0.3">
      <c r="B337" s="57"/>
      <c r="C337" s="78"/>
      <c r="D337" s="78"/>
      <c r="E337" s="106"/>
      <c r="F337" s="77"/>
      <c r="G337" s="106"/>
      <c r="H337" s="78"/>
    </row>
    <row r="338" spans="2:8" ht="15" customHeight="1" thickTop="1" x14ac:dyDescent="0.25">
      <c r="B338" s="60" t="s">
        <v>212</v>
      </c>
      <c r="C338" s="76">
        <v>102720202.79000001</v>
      </c>
      <c r="D338" s="76">
        <v>102720202.79000001</v>
      </c>
      <c r="E338" s="111">
        <v>147110582.99000001</v>
      </c>
      <c r="F338" s="61"/>
      <c r="G338" s="76">
        <v>149019671.15000001</v>
      </c>
      <c r="H338" s="76">
        <v>149019671.15000001</v>
      </c>
    </row>
    <row r="339" spans="2:8" ht="15" customHeight="1" x14ac:dyDescent="0.25">
      <c r="B339" s="48"/>
      <c r="E339" s="58"/>
      <c r="F339" s="58"/>
    </row>
    <row r="340" spans="2:8" x14ac:dyDescent="0.25">
      <c r="C340" s="58"/>
      <c r="D340" s="58"/>
      <c r="E340" s="112"/>
      <c r="F340" s="112">
        <f>SUM(F124+F92+F9)</f>
        <v>145330783.56</v>
      </c>
      <c r="G340" s="58"/>
    </row>
    <row r="341" spans="2:8" x14ac:dyDescent="0.25">
      <c r="C341" s="58"/>
      <c r="D341" s="58"/>
      <c r="E341" s="58"/>
      <c r="F341" s="58"/>
      <c r="G341" s="58"/>
    </row>
    <row r="342" spans="2:8" x14ac:dyDescent="0.25">
      <c r="C342" s="58"/>
      <c r="D342" s="58"/>
      <c r="E342" s="58"/>
      <c r="F342" s="58"/>
      <c r="G342" s="58"/>
    </row>
    <row r="343" spans="2:8" x14ac:dyDescent="0.25">
      <c r="C343" s="58"/>
      <c r="D343" s="58"/>
      <c r="E343" s="58"/>
      <c r="F343" s="58"/>
      <c r="G343" s="58"/>
    </row>
    <row r="344" spans="2:8" ht="18.75" x14ac:dyDescent="0.3">
      <c r="B344" s="62" t="s">
        <v>213</v>
      </c>
      <c r="C344" s="58"/>
      <c r="D344" s="62" t="s">
        <v>214</v>
      </c>
      <c r="E344" s="58"/>
      <c r="F344" s="58"/>
      <c r="G344" s="62" t="s">
        <v>215</v>
      </c>
    </row>
    <row r="345" spans="2:8" ht="18.75" x14ac:dyDescent="0.3">
      <c r="B345" s="62" t="s">
        <v>216</v>
      </c>
      <c r="C345" s="58"/>
      <c r="D345" s="62" t="s">
        <v>217</v>
      </c>
      <c r="E345" s="58"/>
      <c r="F345" s="58"/>
      <c r="G345" s="62" t="s">
        <v>98</v>
      </c>
    </row>
    <row r="346" spans="2:8" ht="18.75" x14ac:dyDescent="0.3">
      <c r="B346" s="62" t="s">
        <v>59</v>
      </c>
      <c r="C346" s="58"/>
      <c r="D346" s="62" t="s">
        <v>60</v>
      </c>
      <c r="E346" s="58"/>
      <c r="F346" s="58"/>
      <c r="G346" s="62" t="s">
        <v>61</v>
      </c>
    </row>
    <row r="347" spans="2:8" x14ac:dyDescent="0.25">
      <c r="C347" s="58"/>
      <c r="D347" s="58"/>
      <c r="E347" s="58"/>
      <c r="F347" s="58"/>
      <c r="G347" s="58"/>
    </row>
  </sheetData>
  <mergeCells count="9">
    <mergeCell ref="I320:J320"/>
    <mergeCell ref="K320:L320"/>
    <mergeCell ref="A2:H2"/>
    <mergeCell ref="A3:H3"/>
    <mergeCell ref="A4:H4"/>
    <mergeCell ref="A5:H5"/>
    <mergeCell ref="C7:D7"/>
    <mergeCell ref="E7:F7"/>
    <mergeCell ref="G7:H7"/>
  </mergeCells>
  <pageMargins left="0.25" right="0.25" top="0.75" bottom="0.75" header="0.3" footer="0.3"/>
  <pageSetup scale="78" orientation="landscape" horizontalDpi="0" verticalDpi="0" r:id="rId1"/>
  <colBreaks count="1" manualBreakCount="1">
    <brk id="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9FCD-15D8-4447-94A2-E39CE809D62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3FD0-D6CC-495D-9F84-25639B2A3D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Balance Comparativo 2025</vt:lpstr>
      <vt:lpstr>Estado de Resultado Comparativo</vt:lpstr>
      <vt:lpstr>BALANZA DE COMPROBACION 2025</vt:lpstr>
      <vt:lpstr>Hoja3</vt:lpstr>
      <vt:lpstr>Hoja4</vt:lpstr>
      <vt:lpstr>'BALANZA DE COMPROBACION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2026-02-23T16:09:36Z</cp:lastPrinted>
  <dcterms:created xsi:type="dcterms:W3CDTF">2024-02-13T22:28:26Z</dcterms:created>
  <dcterms:modified xsi:type="dcterms:W3CDTF">2026-02-23T16:10:48Z</dcterms:modified>
</cp:coreProperties>
</file>